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8" windowWidth="14808" windowHeight="8016"/>
  </bookViews>
  <sheets>
    <sheet name="Front" sheetId="6" r:id="rId1"/>
    <sheet name="General stats" sheetId="2" r:id="rId2"/>
    <sheet name="Matchups" sheetId="1" r:id="rId3"/>
    <sheet name="Matchup Notes" sheetId="4" r:id="rId4"/>
    <sheet name="Changelog" sheetId="3" r:id="rId5"/>
  </sheets>
  <functionGroups builtInGroupCount="18"/>
  <definedNames>
    <definedName name="GameListAssists">INDIRECT("'General stats'!$H$3:$H$5000")</definedName>
    <definedName name="GameListAssistsLastGames">INDIRECT("'General stats'!$H$3:$H$12")</definedName>
    <definedName name="GameListChampion">INDIRECT("'General stats'!$A$3:$A$5000")</definedName>
    <definedName name="GameListChampionLastGames">INDIRECT("'General stats'!$A$3:$A$12")</definedName>
    <definedName name="GameListCS">INDIRECT("'General stats'!$J$3:$J$5000")</definedName>
    <definedName name="GameListCSLastGames">INDIRECT("'General stats'!$J$3:$J$12")</definedName>
    <definedName name="GameListDate">INDIRECT("'General stats'!$O$3:$O$5000")</definedName>
    <definedName name="GameListDateLastGames">INDIRECT("'General stats'!$O$3:$O$12")</definedName>
    <definedName name="GameListDeaths">INDIRECT("'General stats'!$G$3:$G$5000")</definedName>
    <definedName name="GameListDeathsLastGames">INDIRECT("'General stats'!$G$3:$G$12")</definedName>
    <definedName name="GameListGold">INDIRECT("'General stats'!$I$3:$I$5000")</definedName>
    <definedName name="GameListGoldLastGames">INDIRECT("'General stats'!$I$3:$I$12")</definedName>
    <definedName name="GameListGrade">INDIRECT("'General stats'!$O$3:$O$5000")</definedName>
    <definedName name="GameListGradeLastGames">INDIRECT("'General stats'!$O$3:$O$12")</definedName>
    <definedName name="GameListGradeValue">INDIRECT("'General stats'!$P$3:$P$5000")</definedName>
    <definedName name="GameListID">INDIRECT("'General stats'!$W$3:$W$5000")</definedName>
    <definedName name="GameListKills">INDIRECT("'General stats'!$F$3:$F$5000")</definedName>
    <definedName name="GameListKillsLastGames">INDIRECT("'General stats'!$F$3:$F$12")</definedName>
    <definedName name="GameListLaneOpponent">INDIRECT("'General stats'!$B$3:$B$5000")</definedName>
    <definedName name="GameListLaneOpponentLastGames">INDIRECT("'General stats'!$B$3:$B$12")</definedName>
    <definedName name="GameListMin">INDIRECT("'General stats'!$M$3:$M$5000")</definedName>
    <definedName name="GameListMinLastGames">INDIRECT("'General stats'!$M$3:$M$12")</definedName>
    <definedName name="GameListMode">INDIRECT("'General stats'!$C$3:$C$5000")</definedName>
    <definedName name="GameListModeLastGames">INDIRECT("'General stats'!$C$3:$C$12")</definedName>
    <definedName name="GameListMultikill">INDIRECT("'General stats'!$K$3:$K$5000")</definedName>
    <definedName name="GameListMultikillLastGames">INDIRECT("'General stats'!$K$3:$K$12")</definedName>
    <definedName name="GameListPatch">INDIRECT("'General stats'!$L$3:$L$5000")</definedName>
    <definedName name="GameListPatchLastGames">INDIRECT("'General stats'!$L$3:$L$12")</definedName>
    <definedName name="GameListRole">INDIRECT("'General stats'!$E$3:$E$5000")</definedName>
    <definedName name="GameListRoleLastGames">INDIRECT("'General stats'!$E$3:$E$12")</definedName>
    <definedName name="GameListSec">INDIRECT("'General stats'!$N$3:$N$5000")</definedName>
    <definedName name="GameListSecLastGames">INDIRECT("'General stats'!$N$3:$N$12")</definedName>
    <definedName name="GameListWardsKilled">INDIRECT("'General stats'!$Q$3:$Q$5000")</definedName>
    <definedName name="GameListWardsKilledLastGames">INDIRECT("'General stats'!$Q$3:$Q$12")</definedName>
    <definedName name="GameListWardsPlaced">INDIRECT("'General stats'!$P$3:$P$5000")</definedName>
    <definedName name="GameListWardsPlacedLastGames">INDIRECT("'General stats'!$P$3:$P$12")</definedName>
    <definedName name="GameListWinLoss">INDIRECT("'General stats'!$D$3:$D$5000")</definedName>
    <definedName name="GameListWinLossLastGames">INDIRECT("'General stats'!$D$3:$D$12")</definedName>
  </definedNames>
  <calcPr calcId="152511"/>
</workbook>
</file>

<file path=xl/calcChain.xml><?xml version="1.0" encoding="utf-8"?>
<calcChain xmlns="http://schemas.openxmlformats.org/spreadsheetml/2006/main">
  <c r="U3" i="2" l="1"/>
  <c r="T3" i="2"/>
  <c r="S3" i="2"/>
  <c r="U4" i="2"/>
  <c r="T4" i="2"/>
  <c r="S4" i="2"/>
  <c r="U5" i="2"/>
  <c r="T5" i="2"/>
  <c r="S5" i="2"/>
  <c r="U6" i="2"/>
  <c r="T6" i="2"/>
  <c r="S6" i="2"/>
  <c r="U7" i="2"/>
  <c r="T7" i="2"/>
  <c r="S7" i="2"/>
  <c r="U8" i="2"/>
  <c r="T8" i="2"/>
  <c r="S8" i="2"/>
  <c r="U9" i="2"/>
  <c r="T9" i="2"/>
  <c r="S9" i="2"/>
  <c r="D1" i="3" l="1"/>
  <c r="U10" i="2"/>
  <c r="T10" i="2"/>
  <c r="S10" i="2"/>
  <c r="U11" i="2"/>
  <c r="T11" i="2"/>
  <c r="S11" i="2"/>
  <c r="U12" i="2"/>
  <c r="T12" i="2"/>
  <c r="S12" i="2"/>
  <c r="C19" i="6"/>
  <c r="C22" i="6"/>
  <c r="R13" i="6"/>
  <c r="Q12" i="6"/>
  <c r="U10" i="6"/>
  <c r="T12" i="6"/>
  <c r="Q11" i="6"/>
  <c r="H11" i="6"/>
  <c r="R14" i="6"/>
  <c r="O10" i="6"/>
  <c r="Q15" i="6"/>
  <c r="U13" i="6"/>
  <c r="R11" i="6"/>
  <c r="C18" i="6"/>
  <c r="R10" i="6"/>
  <c r="U14" i="6"/>
  <c r="H15" i="6"/>
  <c r="O11" i="6"/>
  <c r="O13" i="6"/>
  <c r="T10" i="6"/>
  <c r="O15" i="6"/>
  <c r="R12" i="6"/>
  <c r="C20" i="6"/>
  <c r="H10" i="6"/>
  <c r="T14" i="6"/>
  <c r="H13" i="6"/>
  <c r="T13" i="6"/>
  <c r="H12" i="6"/>
  <c r="Q14" i="6"/>
  <c r="Q13" i="6"/>
  <c r="U12" i="6"/>
  <c r="B14" i="6"/>
  <c r="R15" i="6"/>
  <c r="O14" i="6"/>
  <c r="C21" i="6"/>
  <c r="C14" i="6"/>
  <c r="U11" i="6"/>
  <c r="U15" i="6"/>
  <c r="T11" i="6"/>
  <c r="H14" i="6"/>
  <c r="Q10" i="6"/>
  <c r="D21" i="6"/>
  <c r="D22" i="6"/>
  <c r="D19" i="6"/>
  <c r="O12" i="6"/>
  <c r="D18" i="6"/>
  <c r="T15" i="6"/>
  <c r="D20" i="6"/>
  <c r="D14" i="6" l="1"/>
  <c r="U13" i="2"/>
  <c r="T13" i="2"/>
  <c r="S13" i="2"/>
  <c r="U14" i="2"/>
  <c r="T14" i="2"/>
  <c r="S14" i="2"/>
  <c r="U15" i="2"/>
  <c r="T15" i="2"/>
  <c r="S15" i="2"/>
  <c r="U16" i="2"/>
  <c r="T16" i="2"/>
  <c r="S16" i="2"/>
  <c r="U17" i="2"/>
  <c r="T17" i="2"/>
  <c r="S17" i="2"/>
  <c r="U18" i="2"/>
  <c r="T18" i="2"/>
  <c r="S18" i="2"/>
  <c r="U19" i="2"/>
  <c r="T19" i="2"/>
  <c r="S19" i="2"/>
  <c r="U20" i="2"/>
  <c r="T20" i="2"/>
  <c r="S20" i="2"/>
  <c r="U21" i="2"/>
  <c r="T21" i="2"/>
  <c r="S21" i="2"/>
  <c r="U22" i="2"/>
  <c r="T22" i="2"/>
  <c r="S22" i="2"/>
  <c r="J13" i="6"/>
  <c r="J14" i="6"/>
  <c r="P15" i="6"/>
  <c r="P14" i="6"/>
  <c r="P11" i="6"/>
  <c r="P13" i="6"/>
  <c r="S10" i="6"/>
  <c r="J12" i="6"/>
  <c r="J11" i="6"/>
  <c r="J15" i="6"/>
  <c r="P10" i="6"/>
  <c r="P12" i="6"/>
  <c r="J10" i="6"/>
  <c r="U23" i="2" l="1"/>
  <c r="T23" i="2"/>
  <c r="S23" i="2"/>
  <c r="L11" i="6" a="1"/>
  <c r="K10" i="6"/>
  <c r="B12" i="6"/>
  <c r="M14" i="6" a="1"/>
  <c r="N14" i="6" a="1"/>
  <c r="M12" i="6" a="1"/>
  <c r="N12" i="6" a="1"/>
  <c r="C11" i="6"/>
  <c r="L13" i="6" a="1"/>
  <c r="K11" i="6"/>
  <c r="B13" i="6"/>
  <c r="L14" i="6" a="1"/>
  <c r="N11" i="6" a="1"/>
  <c r="N15" i="6" a="1"/>
  <c r="N10" i="6" a="1"/>
  <c r="C10" i="6"/>
  <c r="M15" i="6" a="1"/>
  <c r="L15" i="6" a="1"/>
  <c r="L10" i="6" a="1"/>
  <c r="K14" i="6"/>
  <c r="L12" i="6" a="1"/>
  <c r="C13" i="6"/>
  <c r="K12" i="6"/>
  <c r="M13" i="6" a="1"/>
  <c r="C12" i="6"/>
  <c r="M10" i="6" a="1"/>
  <c r="N13" i="6" a="1"/>
  <c r="B10" i="6"/>
  <c r="B11" i="6"/>
  <c r="M11" i="6" a="1"/>
  <c r="K15" i="6"/>
  <c r="K13" i="6"/>
  <c r="C15" i="6" l="1"/>
  <c r="B15" i="6"/>
  <c r="N15" i="6"/>
  <c r="I15" i="6"/>
  <c r="M15" i="6"/>
  <c r="L15" i="6"/>
  <c r="D10" i="6"/>
  <c r="N13" i="6"/>
  <c r="I13" i="6"/>
  <c r="L11" i="6"/>
  <c r="M10" i="6"/>
  <c r="M14" i="6"/>
  <c r="D13" i="6"/>
  <c r="M13" i="6"/>
  <c r="N12" i="6"/>
  <c r="I12" i="6"/>
  <c r="L10" i="6"/>
  <c r="L14" i="6"/>
  <c r="D12" i="6"/>
  <c r="L13" i="6"/>
  <c r="M12" i="6"/>
  <c r="N11" i="6"/>
  <c r="I11" i="6"/>
  <c r="D11" i="6"/>
  <c r="N14" i="6"/>
  <c r="I14" i="6"/>
  <c r="L12" i="6"/>
  <c r="M11" i="6"/>
  <c r="N10" i="6"/>
  <c r="I10" i="6"/>
  <c r="B65" i="1"/>
  <c r="C76" i="1"/>
  <c r="B62" i="1"/>
  <c r="B85" i="1"/>
  <c r="B106" i="1"/>
  <c r="C29" i="1"/>
  <c r="B17" i="1"/>
  <c r="C130" i="1"/>
  <c r="B86" i="1"/>
  <c r="B76" i="1"/>
  <c r="B94" i="1"/>
  <c r="B20" i="1"/>
  <c r="B91" i="1"/>
  <c r="B112" i="1"/>
  <c r="B122" i="1"/>
  <c r="B58" i="1"/>
  <c r="C30" i="1"/>
  <c r="B32" i="1"/>
  <c r="B114" i="1"/>
  <c r="B84" i="1"/>
  <c r="B102" i="1"/>
  <c r="B30" i="1"/>
  <c r="C26" i="1"/>
  <c r="B47" i="1"/>
  <c r="H7" i="1"/>
  <c r="B22" i="1"/>
  <c r="B45" i="1"/>
  <c r="B69" i="1"/>
  <c r="B39" i="1"/>
  <c r="C135" i="1"/>
  <c r="C98" i="1"/>
  <c r="B140" i="1"/>
  <c r="B36" i="1"/>
  <c r="G6" i="1"/>
  <c r="B35" i="1"/>
  <c r="C104" i="1"/>
  <c r="C94" i="1"/>
  <c r="C51" i="1"/>
  <c r="C115" i="1"/>
  <c r="B27" i="1"/>
  <c r="B18" i="1"/>
  <c r="C72" i="1"/>
  <c r="B90" i="1"/>
  <c r="G9" i="1"/>
  <c r="C37" i="1"/>
  <c r="C125" i="1"/>
  <c r="C83" i="1"/>
  <c r="C53" i="1"/>
  <c r="C41" i="1"/>
  <c r="C118" i="1"/>
  <c r="C55" i="1"/>
  <c r="B9" i="1"/>
  <c r="C139" i="1"/>
  <c r="B74" i="1"/>
  <c r="C24" i="1"/>
  <c r="C86" i="1"/>
  <c r="C97" i="1"/>
  <c r="C23" i="1"/>
  <c r="B44" i="1"/>
  <c r="C79" i="1"/>
  <c r="B130" i="1"/>
  <c r="C78" i="1"/>
  <c r="B28" i="1"/>
  <c r="C87" i="1"/>
  <c r="C18" i="1"/>
  <c r="C57" i="1"/>
  <c r="B139" i="1"/>
  <c r="B80" i="1"/>
  <c r="B6" i="1"/>
  <c r="B96" i="1"/>
  <c r="C14" i="1"/>
  <c r="B83" i="1"/>
  <c r="C105" i="1"/>
  <c r="C70" i="1"/>
  <c r="C80" i="1"/>
  <c r="B126" i="1"/>
  <c r="B12" i="1"/>
  <c r="C138" i="1"/>
  <c r="C74" i="1"/>
  <c r="B78" i="1"/>
  <c r="C54" i="1"/>
  <c r="C32" i="1"/>
  <c r="B72" i="1"/>
  <c r="C90" i="1"/>
  <c r="C112" i="1"/>
  <c r="B54" i="1"/>
  <c r="B56" i="1"/>
  <c r="B34" i="1"/>
  <c r="B21" i="1"/>
  <c r="B48" i="1"/>
  <c r="C69" i="1"/>
  <c r="C107" i="1"/>
  <c r="C106" i="1"/>
  <c r="E8" i="1"/>
  <c r="B88" i="1"/>
  <c r="B92" i="1"/>
  <c r="C102" i="1"/>
  <c r="E6" i="1"/>
  <c r="B5" i="1"/>
  <c r="H8" i="1"/>
  <c r="C33" i="1"/>
  <c r="C60" i="1"/>
  <c r="C136" i="1"/>
  <c r="B127" i="1"/>
  <c r="C101" i="1"/>
  <c r="C89" i="1"/>
  <c r="B135" i="1"/>
  <c r="B33" i="1"/>
  <c r="C19" i="1"/>
  <c r="B25" i="1"/>
  <c r="B120" i="1"/>
  <c r="H9" i="1"/>
  <c r="B19" i="1"/>
  <c r="H6" i="1"/>
  <c r="B129" i="1"/>
  <c r="C71" i="1"/>
  <c r="C40" i="1"/>
  <c r="B51" i="1"/>
  <c r="C82" i="1"/>
  <c r="B29" i="1"/>
  <c r="B77" i="1"/>
  <c r="C134" i="1"/>
  <c r="C49" i="1"/>
  <c r="C67" i="1"/>
  <c r="C22" i="1"/>
  <c r="B61" i="1"/>
  <c r="G5" i="1"/>
  <c r="B64" i="1"/>
  <c r="B41" i="1"/>
  <c r="C108" i="1"/>
  <c r="C65" i="1"/>
  <c r="B26" i="1"/>
  <c r="B99" i="1"/>
  <c r="S15" i="6"/>
  <c r="C44" i="1"/>
  <c r="B133" i="1"/>
  <c r="C66" i="1"/>
  <c r="B105" i="1"/>
  <c r="B138" i="1"/>
  <c r="C35" i="1"/>
  <c r="C21" i="1"/>
  <c r="C77" i="1"/>
  <c r="B50" i="1"/>
  <c r="C121" i="1"/>
  <c r="B116" i="1"/>
  <c r="B31" i="1"/>
  <c r="C92" i="1"/>
  <c r="B14" i="1"/>
  <c r="C36" i="1"/>
  <c r="S11" i="6"/>
  <c r="B7" i="1"/>
  <c r="C15" i="1"/>
  <c r="C129" i="1"/>
  <c r="B38" i="1"/>
  <c r="C99" i="1"/>
  <c r="C124" i="1"/>
  <c r="B42" i="1"/>
  <c r="C116" i="1"/>
  <c r="B110" i="1"/>
  <c r="B55" i="1"/>
  <c r="B137" i="1"/>
  <c r="B121" i="1"/>
  <c r="C12" i="1"/>
  <c r="C47" i="1"/>
  <c r="B124" i="1"/>
  <c r="B82" i="1"/>
  <c r="B23" i="1"/>
  <c r="C27" i="1"/>
  <c r="C52" i="1"/>
  <c r="B60" i="1"/>
  <c r="B131" i="1"/>
  <c r="C58" i="1"/>
  <c r="B111" i="1"/>
  <c r="C75" i="1"/>
  <c r="B53" i="1"/>
  <c r="B59" i="1"/>
  <c r="C39" i="1"/>
  <c r="B57" i="1"/>
  <c r="C114" i="1"/>
  <c r="B49" i="1"/>
  <c r="B24" i="1"/>
  <c r="C63" i="1"/>
  <c r="C31" i="1"/>
  <c r="B95" i="1"/>
  <c r="B40" i="1"/>
  <c r="B93" i="1"/>
  <c r="B13" i="1"/>
  <c r="C62" i="1"/>
  <c r="B16" i="1"/>
  <c r="C13" i="1"/>
  <c r="B118" i="1"/>
  <c r="B52" i="1"/>
  <c r="C45" i="1"/>
  <c r="B100" i="1"/>
  <c r="C28" i="1"/>
  <c r="S12" i="6"/>
  <c r="C117" i="1"/>
  <c r="C123" i="1"/>
  <c r="C132" i="1"/>
  <c r="E5" i="1"/>
  <c r="S14" i="6"/>
  <c r="C109" i="1"/>
  <c r="B134" i="1"/>
  <c r="C73" i="1"/>
  <c r="C128" i="1"/>
  <c r="B63" i="1"/>
  <c r="C127" i="1"/>
  <c r="C34" i="1"/>
  <c r="C111" i="1"/>
  <c r="B115" i="1"/>
  <c r="C137" i="1"/>
  <c r="C96" i="1"/>
  <c r="B37" i="1"/>
  <c r="C68" i="1"/>
  <c r="B119" i="1"/>
  <c r="G8" i="1"/>
  <c r="B109" i="1"/>
  <c r="C140" i="1"/>
  <c r="C50" i="1"/>
  <c r="C85" i="1"/>
  <c r="C56" i="1"/>
  <c r="B101" i="1"/>
  <c r="C91" i="1"/>
  <c r="C122" i="1"/>
  <c r="C131" i="1"/>
  <c r="H5" i="1"/>
  <c r="B73" i="1"/>
  <c r="B113" i="1"/>
  <c r="B46" i="1"/>
  <c r="C16" i="1"/>
  <c r="B68" i="1"/>
  <c r="C48" i="1"/>
  <c r="C113" i="1"/>
  <c r="B89" i="1"/>
  <c r="C25" i="1"/>
  <c r="E7" i="1"/>
  <c r="C133" i="1"/>
  <c r="B98" i="1"/>
  <c r="B97" i="1"/>
  <c r="B104" i="1"/>
  <c r="B8" i="1"/>
  <c r="S13" i="6"/>
  <c r="B107" i="1"/>
  <c r="B66" i="1"/>
  <c r="B125" i="1"/>
  <c r="C84" i="1"/>
  <c r="C59" i="1"/>
  <c r="B71" i="1"/>
  <c r="G7" i="1"/>
  <c r="C88" i="1"/>
  <c r="C64" i="1"/>
  <c r="C120" i="1"/>
  <c r="C42" i="1"/>
  <c r="C20" i="1"/>
  <c r="B81" i="1"/>
  <c r="C95" i="1"/>
  <c r="C100" i="1"/>
  <c r="C103" i="1"/>
  <c r="C43" i="1"/>
  <c r="C17" i="1"/>
  <c r="B123" i="1"/>
  <c r="B103" i="1"/>
  <c r="C119" i="1"/>
  <c r="B75" i="1"/>
  <c r="B70" i="1"/>
  <c r="C126" i="1"/>
  <c r="B67" i="1"/>
  <c r="B79" i="1"/>
  <c r="B117" i="1"/>
  <c r="B132" i="1"/>
  <c r="C61" i="1"/>
  <c r="B15" i="1"/>
  <c r="C81" i="1"/>
  <c r="E9" i="1"/>
  <c r="B136" i="1"/>
  <c r="C110" i="1"/>
  <c r="B128" i="1"/>
  <c r="C38" i="1"/>
  <c r="C93" i="1"/>
  <c r="B43" i="1"/>
  <c r="B87" i="1"/>
  <c r="C46" i="1"/>
  <c r="B108" i="1"/>
  <c r="D15" i="6" l="1"/>
  <c r="C9" i="1"/>
  <c r="C8" i="1"/>
  <c r="C7" i="1"/>
  <c r="C6" i="1"/>
  <c r="I6" i="1"/>
  <c r="D6" i="1"/>
  <c r="D7" i="1"/>
  <c r="F7" i="1"/>
  <c r="C7" i="6"/>
  <c r="F6" i="1"/>
  <c r="D8" i="1"/>
  <c r="I8" i="1"/>
  <c r="F5" i="1"/>
  <c r="D5" i="1"/>
  <c r="F8" i="1"/>
  <c r="F9" i="1"/>
  <c r="I5" i="1"/>
  <c r="I9" i="1"/>
  <c r="I7" i="1"/>
  <c r="D9" i="1"/>
  <c r="U24" i="2" l="1"/>
  <c r="T24" i="2"/>
  <c r="S24" i="2"/>
  <c r="U25" i="2"/>
  <c r="T25" i="2"/>
  <c r="S25" i="2"/>
  <c r="U26" i="2"/>
  <c r="T26" i="2"/>
  <c r="S26" i="2"/>
  <c r="U27" i="2" l="1"/>
  <c r="T27" i="2"/>
  <c r="S27" i="2"/>
  <c r="U28" i="2"/>
  <c r="T28" i="2"/>
  <c r="S28" i="2"/>
  <c r="U29" i="2"/>
  <c r="T29" i="2"/>
  <c r="S29" i="2"/>
  <c r="U30" i="2" l="1"/>
  <c r="T30" i="2"/>
  <c r="S30" i="2"/>
  <c r="U31" i="2" l="1"/>
  <c r="T31" i="2"/>
  <c r="S31" i="2"/>
  <c r="U32" i="2" l="1"/>
  <c r="T32" i="2"/>
  <c r="S32" i="2"/>
  <c r="U33" i="2"/>
  <c r="T33" i="2"/>
  <c r="S33" i="2"/>
  <c r="U34" i="2" l="1"/>
  <c r="T34" i="2"/>
  <c r="S34" i="2"/>
  <c r="U35" i="2"/>
  <c r="T35" i="2"/>
  <c r="S35" i="2"/>
  <c r="U36" i="2"/>
  <c r="T36" i="2"/>
  <c r="S36" i="2"/>
  <c r="U37" i="2"/>
  <c r="T37" i="2"/>
  <c r="S37" i="2"/>
  <c r="U38" i="2"/>
  <c r="T38" i="2"/>
  <c r="S38" i="2"/>
  <c r="U39" i="2"/>
  <c r="T39" i="2"/>
  <c r="S39" i="2"/>
  <c r="U40" i="2"/>
  <c r="T40" i="2"/>
  <c r="S40" i="2"/>
  <c r="U41" i="2" l="1"/>
  <c r="T41" i="2"/>
  <c r="S41" i="2"/>
  <c r="U42" i="2" l="1"/>
  <c r="T42" i="2"/>
  <c r="S42" i="2"/>
  <c r="U43" i="2"/>
  <c r="T43" i="2"/>
  <c r="S43" i="2"/>
  <c r="U44" i="2"/>
  <c r="T44" i="2"/>
  <c r="S44" i="2"/>
  <c r="U45" i="2"/>
  <c r="T45" i="2"/>
  <c r="S45" i="2"/>
  <c r="U46" i="2"/>
  <c r="T46" i="2"/>
  <c r="S46" i="2"/>
  <c r="E54" i="1" l="1"/>
  <c r="D54" i="1"/>
  <c r="U47" i="2" l="1"/>
  <c r="T47" i="2"/>
  <c r="S47" i="2"/>
  <c r="U48" i="2"/>
  <c r="T48" i="2"/>
  <c r="S48" i="2"/>
  <c r="U49" i="2"/>
  <c r="T49" i="2"/>
  <c r="S49" i="2"/>
  <c r="U50" i="2"/>
  <c r="T50" i="2"/>
  <c r="S50" i="2"/>
  <c r="U51" i="2"/>
  <c r="T51" i="2"/>
  <c r="S51" i="2"/>
  <c r="U52" i="2"/>
  <c r="T52" i="2"/>
  <c r="S52" i="2"/>
  <c r="U53" i="2"/>
  <c r="T53" i="2"/>
  <c r="S53" i="2"/>
  <c r="U54" i="2"/>
  <c r="T54" i="2"/>
  <c r="S54" i="2"/>
  <c r="U55" i="2"/>
  <c r="T55" i="2"/>
  <c r="S55" i="2"/>
  <c r="C5" i="1" l="1"/>
  <c r="U56" i="2"/>
  <c r="T56" i="2"/>
  <c r="S56" i="2"/>
  <c r="U57" i="2"/>
  <c r="T57" i="2"/>
  <c r="S57" i="2"/>
  <c r="U58" i="2"/>
  <c r="T58" i="2"/>
  <c r="S58" i="2"/>
  <c r="U59" i="2"/>
  <c r="T59" i="2"/>
  <c r="S59" i="2"/>
  <c r="U60" i="2"/>
  <c r="T60" i="2"/>
  <c r="S60" i="2"/>
  <c r="U61" i="2"/>
  <c r="T61" i="2"/>
  <c r="S61" i="2"/>
  <c r="U62" i="2" l="1"/>
  <c r="T62" i="2"/>
  <c r="S62" i="2"/>
  <c r="U63" i="2"/>
  <c r="T63" i="2"/>
  <c r="S63" i="2"/>
  <c r="U64" i="2"/>
  <c r="T64" i="2"/>
  <c r="S64" i="2"/>
  <c r="U65" i="2"/>
  <c r="T65" i="2"/>
  <c r="S65" i="2"/>
  <c r="U66" i="2" l="1"/>
  <c r="T66" i="2"/>
  <c r="S66" i="2"/>
  <c r="U67" i="2"/>
  <c r="T67" i="2"/>
  <c r="S67" i="2"/>
  <c r="U68" i="2"/>
  <c r="T68" i="2"/>
  <c r="S68" i="2"/>
  <c r="U69" i="2"/>
  <c r="T69" i="2"/>
  <c r="S69" i="2"/>
  <c r="U70" i="2" l="1"/>
  <c r="T70" i="2"/>
  <c r="S70" i="2"/>
  <c r="U71" i="2"/>
  <c r="T71" i="2"/>
  <c r="S71" i="2"/>
  <c r="U72" i="2"/>
  <c r="T72" i="2"/>
  <c r="S72" i="2"/>
  <c r="U73" i="2"/>
  <c r="T73" i="2"/>
  <c r="S73" i="2"/>
  <c r="U74" i="2"/>
  <c r="T74" i="2"/>
  <c r="S74" i="2"/>
  <c r="U75" i="2"/>
  <c r="T75" i="2"/>
  <c r="S75" i="2"/>
  <c r="U76" i="2" l="1"/>
  <c r="T76" i="2"/>
  <c r="S76" i="2"/>
  <c r="U77" i="2"/>
  <c r="T77" i="2"/>
  <c r="S77" i="2"/>
  <c r="U78" i="2" l="1"/>
  <c r="T78" i="2"/>
  <c r="S78" i="2"/>
  <c r="U79" i="2"/>
  <c r="T79" i="2"/>
  <c r="S79" i="2"/>
  <c r="U80" i="2"/>
  <c r="T80" i="2"/>
  <c r="S80" i="2"/>
  <c r="U81" i="2" l="1"/>
  <c r="T81" i="2"/>
  <c r="S81" i="2"/>
  <c r="U82" i="2"/>
  <c r="T82" i="2"/>
  <c r="S82" i="2"/>
  <c r="U83" i="2"/>
  <c r="T83" i="2"/>
  <c r="S83" i="2"/>
  <c r="U84" i="2"/>
  <c r="T84" i="2"/>
  <c r="S84" i="2"/>
  <c r="U85" i="2"/>
  <c r="T85" i="2"/>
  <c r="S85" i="2"/>
  <c r="S87" i="2"/>
  <c r="S88" i="2"/>
  <c r="S89" i="2"/>
  <c r="S90" i="2"/>
  <c r="S91" i="2"/>
  <c r="S92" i="2"/>
  <c r="S93" i="2"/>
  <c r="S94" i="2"/>
  <c r="S95" i="2"/>
  <c r="S96" i="2"/>
  <c r="S97" i="2"/>
  <c r="S98" i="2"/>
  <c r="S86" i="2"/>
  <c r="U86" i="2"/>
  <c r="T86" i="2"/>
  <c r="U87" i="2"/>
  <c r="T87" i="2"/>
  <c r="U88" i="2"/>
  <c r="T88" i="2"/>
  <c r="U89" i="2" l="1"/>
  <c r="T89" i="2"/>
  <c r="U90" i="2"/>
  <c r="T90" i="2"/>
  <c r="U91" i="2"/>
  <c r="U92" i="2"/>
  <c r="T91" i="2"/>
  <c r="T93" i="2"/>
  <c r="T94" i="2"/>
  <c r="T95" i="2"/>
  <c r="T96" i="2"/>
  <c r="T97" i="2"/>
  <c r="T98" i="2"/>
  <c r="T92" i="2"/>
  <c r="U93" i="2" l="1"/>
  <c r="U94" i="2"/>
  <c r="U95" i="2" l="1"/>
  <c r="U96" i="2"/>
  <c r="U97" i="2"/>
  <c r="E118" i="1" l="1"/>
  <c r="E32" i="1"/>
  <c r="E43" i="1"/>
  <c r="E119" i="1"/>
  <c r="E126" i="1"/>
  <c r="E132" i="1"/>
  <c r="E84" i="1"/>
  <c r="E51" i="1"/>
  <c r="E19" i="1"/>
  <c r="E124" i="1"/>
  <c r="E36" i="1"/>
  <c r="E91" i="1"/>
  <c r="E55" i="1"/>
  <c r="E22" i="1"/>
  <c r="E135" i="1"/>
  <c r="E61" i="1"/>
  <c r="E102" i="1"/>
  <c r="E47" i="1"/>
  <c r="E90" i="1"/>
  <c r="E123" i="1"/>
  <c r="E139" i="1"/>
  <c r="E40" i="1"/>
  <c r="E108" i="1"/>
  <c r="E97" i="1"/>
  <c r="E88" i="1"/>
  <c r="E115" i="1"/>
  <c r="E133" i="1"/>
  <c r="E134" i="1"/>
  <c r="E86" i="1"/>
  <c r="E53" i="1"/>
  <c r="E21" i="1"/>
  <c r="E80" i="1"/>
  <c r="E18" i="1"/>
  <c r="E29" i="1"/>
  <c r="E65" i="1"/>
  <c r="E121" i="1"/>
  <c r="E14" i="1"/>
  <c r="E25" i="1"/>
  <c r="E16" i="1"/>
  <c r="E104" i="1"/>
  <c r="E68" i="1"/>
  <c r="E35" i="1"/>
  <c r="E107" i="1"/>
  <c r="E71" i="1"/>
  <c r="E109" i="1"/>
  <c r="E122" i="1"/>
  <c r="E82" i="1"/>
  <c r="E17" i="1"/>
  <c r="E15" i="1"/>
  <c r="E79" i="1"/>
  <c r="E140" i="1"/>
  <c r="E64" i="1"/>
  <c r="E31" i="1"/>
  <c r="E48" i="1"/>
  <c r="E105" i="1"/>
  <c r="E67" i="1"/>
  <c r="E34" i="1"/>
  <c r="E125" i="1"/>
  <c r="E114" i="1"/>
  <c r="E78" i="1"/>
  <c r="E131" i="1"/>
  <c r="E98" i="1"/>
  <c r="E76" i="1"/>
  <c r="E12" i="1"/>
  <c r="E138" i="1"/>
  <c r="E44" i="1"/>
  <c r="E28" i="1"/>
  <c r="E77" i="1"/>
  <c r="E99" i="1"/>
  <c r="E63" i="1"/>
  <c r="E30" i="1"/>
  <c r="E101" i="1"/>
  <c r="E110" i="1"/>
  <c r="E74" i="1"/>
  <c r="E120" i="1"/>
  <c r="E50" i="1"/>
  <c r="E112" i="1"/>
  <c r="E94" i="1"/>
  <c r="E130" i="1"/>
  <c r="E92" i="1"/>
  <c r="E56" i="1"/>
  <c r="E23" i="1"/>
  <c r="E136" i="1"/>
  <c r="E57" i="1"/>
  <c r="E95" i="1"/>
  <c r="E59" i="1"/>
  <c r="E26" i="1"/>
  <c r="E24" i="1"/>
  <c r="E85" i="1"/>
  <c r="E106" i="1"/>
  <c r="E70" i="1"/>
  <c r="E37" i="1"/>
  <c r="U98" i="2"/>
  <c r="E52" i="1" l="1"/>
  <c r="E81" i="1"/>
  <c r="E41" i="1"/>
  <c r="E129" i="1"/>
  <c r="E116" i="1"/>
  <c r="E111" i="1"/>
  <c r="E42" i="1"/>
  <c r="E62" i="1"/>
  <c r="E27" i="1"/>
  <c r="E93" i="1"/>
  <c r="E89" i="1"/>
  <c r="E39" i="1"/>
  <c r="E49" i="1"/>
  <c r="E100" i="1"/>
  <c r="E46" i="1"/>
  <c r="E96" i="1"/>
  <c r="E45" i="1"/>
  <c r="E20" i="1"/>
  <c r="E60" i="1"/>
  <c r="E38" i="1"/>
  <c r="E75" i="1"/>
  <c r="E83" i="1"/>
  <c r="E58" i="1"/>
  <c r="E72" i="1"/>
  <c r="E137" i="1"/>
  <c r="E113" i="1"/>
  <c r="E69" i="1"/>
  <c r="E73" i="1"/>
  <c r="E117" i="1"/>
  <c r="E33" i="1"/>
  <c r="E128" i="1"/>
  <c r="E66" i="1"/>
  <c r="E13" i="1"/>
  <c r="E103" i="1"/>
  <c r="E87" i="1"/>
  <c r="E127" i="1"/>
  <c r="D124" i="1"/>
  <c r="D95" i="1"/>
  <c r="D37" i="1"/>
  <c r="D57" i="1"/>
  <c r="D89" i="1"/>
  <c r="D63" i="1"/>
  <c r="D138" i="1"/>
  <c r="D78" i="1"/>
  <c r="D48" i="1"/>
  <c r="D83" i="1"/>
  <c r="D38" i="1"/>
  <c r="D93" i="1"/>
  <c r="D86" i="1"/>
  <c r="D97" i="1"/>
  <c r="D47" i="1"/>
  <c r="D135" i="1"/>
  <c r="D84" i="1"/>
  <c r="D43" i="1"/>
  <c r="D23" i="1"/>
  <c r="D20" i="1"/>
  <c r="D101" i="1"/>
  <c r="D60" i="1"/>
  <c r="D140" i="1"/>
  <c r="D35" i="1"/>
  <c r="D75" i="1"/>
  <c r="D66" i="1"/>
  <c r="D120" i="1"/>
  <c r="D70" i="1"/>
  <c r="D136" i="1"/>
  <c r="D94" i="1"/>
  <c r="D99" i="1"/>
  <c r="D114" i="1"/>
  <c r="D31" i="1"/>
  <c r="D58" i="1"/>
  <c r="D15" i="1"/>
  <c r="D71" i="1"/>
  <c r="D16" i="1"/>
  <c r="D134" i="1"/>
  <c r="D39" i="1"/>
  <c r="D139" i="1"/>
  <c r="D22" i="1"/>
  <c r="D132" i="1"/>
  <c r="D125" i="1"/>
  <c r="D17" i="1"/>
  <c r="D29" i="1"/>
  <c r="D111" i="1"/>
  <c r="D55" i="1"/>
  <c r="D106" i="1"/>
  <c r="D79" i="1"/>
  <c r="D123" i="1"/>
  <c r="D56" i="1"/>
  <c r="D74" i="1"/>
  <c r="D28" i="1"/>
  <c r="D98" i="1"/>
  <c r="D81" i="1"/>
  <c r="D100" i="1"/>
  <c r="D116" i="1"/>
  <c r="D49" i="1"/>
  <c r="D137" i="1"/>
  <c r="D18" i="1"/>
  <c r="D133" i="1"/>
  <c r="D108" i="1"/>
  <c r="D90" i="1"/>
  <c r="D91" i="1"/>
  <c r="D113" i="1"/>
  <c r="D112" i="1"/>
  <c r="D41" i="1"/>
  <c r="D64" i="1"/>
  <c r="D107" i="1"/>
  <c r="D72" i="1"/>
  <c r="D126" i="1"/>
  <c r="D85" i="1"/>
  <c r="D24" i="1"/>
  <c r="D92" i="1"/>
  <c r="D110" i="1"/>
  <c r="D27" i="1"/>
  <c r="D131" i="1"/>
  <c r="D34" i="1"/>
  <c r="D69" i="1"/>
  <c r="D82" i="1"/>
  <c r="D73" i="1"/>
  <c r="D25" i="1"/>
  <c r="D80" i="1"/>
  <c r="D42" i="1"/>
  <c r="D117" i="1"/>
  <c r="D33" i="1"/>
  <c r="D36" i="1"/>
  <c r="D32" i="1"/>
  <c r="D122" i="1"/>
  <c r="D77" i="1"/>
  <c r="D26" i="1"/>
  <c r="D67" i="1"/>
  <c r="D14" i="1"/>
  <c r="D40" i="1"/>
  <c r="D118" i="1"/>
  <c r="D59" i="1"/>
  <c r="D130" i="1"/>
  <c r="D50" i="1"/>
  <c r="D52" i="1"/>
  <c r="D96" i="1"/>
  <c r="D46" i="1"/>
  <c r="D13" i="1"/>
  <c r="D103" i="1"/>
  <c r="D87" i="1"/>
  <c r="D68" i="1"/>
  <c r="D121" i="1"/>
  <c r="D21" i="1"/>
  <c r="D115" i="1"/>
  <c r="D102" i="1"/>
  <c r="D19" i="1"/>
  <c r="D128" i="1"/>
  <c r="D129" i="1"/>
  <c r="D30" i="1"/>
  <c r="D44" i="1"/>
  <c r="D76" i="1"/>
  <c r="D45" i="1"/>
  <c r="D105" i="1"/>
  <c r="D62" i="1"/>
  <c r="D109" i="1"/>
  <c r="D104" i="1"/>
  <c r="D65" i="1"/>
  <c r="D53" i="1"/>
  <c r="D88" i="1"/>
  <c r="D127" i="1"/>
  <c r="D61" i="1"/>
  <c r="D51" i="1"/>
  <c r="D119" i="1"/>
  <c r="D12" i="1"/>
</calcChain>
</file>

<file path=xl/sharedStrings.xml><?xml version="1.0" encoding="utf-8"?>
<sst xmlns="http://schemas.openxmlformats.org/spreadsheetml/2006/main" count="425" uniqueCount="251">
  <si>
    <t>Aatrox</t>
  </si>
  <si>
    <t>Ahri</t>
  </si>
  <si>
    <t>Akali</t>
  </si>
  <si>
    <t>Alistar</t>
  </si>
  <si>
    <t>Amumu</t>
  </si>
  <si>
    <t>Anivia</t>
  </si>
  <si>
    <t>Annie</t>
  </si>
  <si>
    <t>Ashe</t>
  </si>
  <si>
    <t>Azir</t>
  </si>
  <si>
    <t>Bard</t>
  </si>
  <si>
    <t>Blitzcrank</t>
  </si>
  <si>
    <t>Brand</t>
  </si>
  <si>
    <t>Braum</t>
  </si>
  <si>
    <t>Caitlyn</t>
  </si>
  <si>
    <t>Cassiopeia</t>
  </si>
  <si>
    <t>Cho'Gath</t>
  </si>
  <si>
    <t>Corki</t>
  </si>
  <si>
    <t>Darius</t>
  </si>
  <si>
    <t>Diana</t>
  </si>
  <si>
    <t>Dr. Mundo</t>
  </si>
  <si>
    <t>Draven</t>
  </si>
  <si>
    <t>Ekko</t>
  </si>
  <si>
    <t>Elise</t>
  </si>
  <si>
    <t>Evelynn</t>
  </si>
  <si>
    <t>Ezreal</t>
  </si>
  <si>
    <t>Fiddlesticks</t>
  </si>
  <si>
    <t>Fiora</t>
  </si>
  <si>
    <t>Fizz</t>
  </si>
  <si>
    <t>Galio</t>
  </si>
  <si>
    <t>Gangplank</t>
  </si>
  <si>
    <t>Garen</t>
  </si>
  <si>
    <t>Gnar</t>
  </si>
  <si>
    <t>Gragas</t>
  </si>
  <si>
    <t>Graves</t>
  </si>
  <si>
    <t>Hecarim</t>
  </si>
  <si>
    <t>Heimerdinger</t>
  </si>
  <si>
    <t>Illaoi</t>
  </si>
  <si>
    <t>Irelia</t>
  </si>
  <si>
    <t>Janna</t>
  </si>
  <si>
    <t>Jarvan IV</t>
  </si>
  <si>
    <t>Jax</t>
  </si>
  <si>
    <t>Jayce</t>
  </si>
  <si>
    <t>Jinx</t>
  </si>
  <si>
    <t>Kalista</t>
  </si>
  <si>
    <t>Karma</t>
  </si>
  <si>
    <t>Karthus</t>
  </si>
  <si>
    <t>Kassadin</t>
  </si>
  <si>
    <t>Katarina</t>
  </si>
  <si>
    <t>Kayle</t>
  </si>
  <si>
    <t>Kennen</t>
  </si>
  <si>
    <t>Kha'Zix</t>
  </si>
  <si>
    <t>Kindred</t>
  </si>
  <si>
    <t>Kog'Maw</t>
  </si>
  <si>
    <t>LeBlanc</t>
  </si>
  <si>
    <t>Lee Sin</t>
  </si>
  <si>
    <t>Leona</t>
  </si>
  <si>
    <t>Lissandra</t>
  </si>
  <si>
    <t>Lucian</t>
  </si>
  <si>
    <t>Lulu</t>
  </si>
  <si>
    <t>Lux</t>
  </si>
  <si>
    <t>Malphite</t>
  </si>
  <si>
    <t>Malzahar</t>
  </si>
  <si>
    <t>Maokai</t>
  </si>
  <si>
    <t>Master Yi</t>
  </si>
  <si>
    <t>Miss Fortune</t>
  </si>
  <si>
    <t>Mordekaiser</t>
  </si>
  <si>
    <t>Morgana</t>
  </si>
  <si>
    <t>Nami</t>
  </si>
  <si>
    <t>Nasus</t>
  </si>
  <si>
    <t>Nautilus</t>
  </si>
  <si>
    <t>Nidalee</t>
  </si>
  <si>
    <t>Nocturne</t>
  </si>
  <si>
    <t>Nunu</t>
  </si>
  <si>
    <t>Olaf</t>
  </si>
  <si>
    <t>Orianna</t>
  </si>
  <si>
    <t>Pantheon</t>
  </si>
  <si>
    <t>Poppy</t>
  </si>
  <si>
    <t>Quinn</t>
  </si>
  <si>
    <t>Rammus</t>
  </si>
  <si>
    <t>Rek'Sai</t>
  </si>
  <si>
    <t>Renekton</t>
  </si>
  <si>
    <t>Rengar</t>
  </si>
  <si>
    <t>Riven</t>
  </si>
  <si>
    <t>Rumble</t>
  </si>
  <si>
    <t>Ryze</t>
  </si>
  <si>
    <t>Sejuani</t>
  </si>
  <si>
    <t>Shaco</t>
  </si>
  <si>
    <t>Shen</t>
  </si>
  <si>
    <t>Shyvana</t>
  </si>
  <si>
    <t>Singed</t>
  </si>
  <si>
    <t>Sion</t>
  </si>
  <si>
    <t>Sivir</t>
  </si>
  <si>
    <t>Skarner</t>
  </si>
  <si>
    <t>Sona</t>
  </si>
  <si>
    <t>Soraka</t>
  </si>
  <si>
    <t>Swain</t>
  </si>
  <si>
    <t>Syndra</t>
  </si>
  <si>
    <t>Tahm Kench</t>
  </si>
  <si>
    <t>Talon</t>
  </si>
  <si>
    <t>Taric</t>
  </si>
  <si>
    <t>Teemo</t>
  </si>
  <si>
    <t>Thresh</t>
  </si>
  <si>
    <t>Tristana</t>
  </si>
  <si>
    <t>Trundle</t>
  </si>
  <si>
    <t>Tryndamere</t>
  </si>
  <si>
    <t>Twisted Fate</t>
  </si>
  <si>
    <t>Twitch</t>
  </si>
  <si>
    <t>Udyr</t>
  </si>
  <si>
    <t>Urgot</t>
  </si>
  <si>
    <t>Varus</t>
  </si>
  <si>
    <t>Vayne</t>
  </si>
  <si>
    <t>Veigar</t>
  </si>
  <si>
    <t>Vel'Koz</t>
  </si>
  <si>
    <t>Vi</t>
  </si>
  <si>
    <t>Viktor</t>
  </si>
  <si>
    <t>Vladimir</t>
  </si>
  <si>
    <t>Volibear</t>
  </si>
  <si>
    <t>Warwick</t>
  </si>
  <si>
    <t>Wukong</t>
  </si>
  <si>
    <t>Xerath</t>
  </si>
  <si>
    <t>Xin Zhao</t>
  </si>
  <si>
    <t>Yasuo</t>
  </si>
  <si>
    <t>Yorick</t>
  </si>
  <si>
    <t>Zac</t>
  </si>
  <si>
    <t>Zed</t>
  </si>
  <si>
    <t>Ziggs</t>
  </si>
  <si>
    <t>Zilean</t>
  </si>
  <si>
    <t>Zyra</t>
  </si>
  <si>
    <t>Champion</t>
  </si>
  <si>
    <t>Count</t>
  </si>
  <si>
    <t>Notes</t>
  </si>
  <si>
    <t>Wins</t>
  </si>
  <si>
    <t>Winrate</t>
  </si>
  <si>
    <t>KDA</t>
  </si>
  <si>
    <t>Win/Loss</t>
  </si>
  <si>
    <t>Role</t>
  </si>
  <si>
    <t>Kills</t>
  </si>
  <si>
    <t>Deaths</t>
  </si>
  <si>
    <t>Assists</t>
  </si>
  <si>
    <t>Ranked</t>
  </si>
  <si>
    <t>Normal</t>
  </si>
  <si>
    <t>CS</t>
  </si>
  <si>
    <t>Gold</t>
  </si>
  <si>
    <t>Lane opponent</t>
  </si>
  <si>
    <t>N. of plays</t>
  </si>
  <si>
    <t>All Champions</t>
  </si>
  <si>
    <t>Mode</t>
  </si>
  <si>
    <t>Hard matchup, rush hexdrinker &gt; shiv/pd, masteries 18/12 with warlord's for late game. Don’t fight her when she has stun. Can lose early CS.</t>
  </si>
  <si>
    <t>Skill matchup, if you wall her E you probably win, but juking her return Q true damage with your e is important as well.</t>
  </si>
  <si>
    <t>, don’t let her proc her Q for free. Her level 6 powerspike is insane, way more damage than you'd expect.</t>
  </si>
  <si>
    <t>Hard matchup, get hit by one Q &gt; E combo early and your lane is done. Get a Shiv, waveclear and roam. Nothing to be done midlane. After 6 Anivia will always push with her ult, make sure to roam good, otherwise you'll lose too much farm.</t>
  </si>
  <si>
    <t>Hard matchup, his damage is insane. Block his Q with your windwall for stun, or juke it with E. Just don't get hit by it. Also, his ult can be windwalled.</t>
  </si>
  <si>
    <t>Game length</t>
  </si>
  <si>
    <t>CS/min</t>
  </si>
  <si>
    <t>Min</t>
  </si>
  <si>
    <t>Sec</t>
  </si>
  <si>
    <t>Mid</t>
  </si>
  <si>
    <t>Summary</t>
  </si>
  <si>
    <t>Gold/min</t>
  </si>
  <si>
    <t>Date</t>
  </si>
  <si>
    <t>Patch</t>
  </si>
  <si>
    <t>Game time</t>
  </si>
  <si>
    <t>Changelog</t>
  </si>
  <si>
    <t>Added individual champion stats in General Stats</t>
  </si>
  <si>
    <t>Added button to insert new game</t>
  </si>
  <si>
    <t>Added match overview and match stats</t>
  </si>
  <si>
    <t>Added stats across all champions</t>
  </si>
  <si>
    <t>Added separate winrates for ranked and normal</t>
  </si>
  <si>
    <t>Fixed several formulas</t>
  </si>
  <si>
    <t>Fixed inserting new match messing with formulas HAIL INDIRECT</t>
  </si>
  <si>
    <t>Added lane matchups for all champions and saving of notes</t>
  </si>
  <si>
    <t>Dodge E and rek dat scrub</t>
  </si>
  <si>
    <t>Just a matchup, not much kill pressure. His mana costs are pretty high, so you can push the lane and roam. After 6 be careful of his true damage.</t>
  </si>
  <si>
    <t>Easy matchup, he is immobile, take advantage of that. Don't stand to long in his W though, since it does quite some damage.</t>
  </si>
  <si>
    <t>Easy matchup, pre-6 he is very immobile and you can outtrade him. After 6 he becomes very slippery, buy Yasuo still has kill pressure. Pay attention to whether he has ignite or tp.</t>
  </si>
  <si>
    <t>Hard matchup, early hexdrinker great buy. Wall her Q so she doesn't deal too much damage with her Q &gt; W combo. Dodge her W's with E.</t>
  </si>
  <si>
    <t>ARAM</t>
  </si>
  <si>
    <t>Added ARAM winrate, other stats ignore ARAM games</t>
  </si>
  <si>
    <t>Added winrates for last 50 games</t>
  </si>
  <si>
    <t>Easy matchup, wall her spear, win lane. Don't trade when hit by spear.</t>
  </si>
  <si>
    <t>Top</t>
  </si>
  <si>
    <t>Added stats for last 50 games</t>
  </si>
  <si>
    <t>, wall his Q. Care for his passive, don't take long trades. Trade Q3 &gt; EQ &gt; AA &gt; out. Not much kill pressure because ult. He can't ult while CC'd.</t>
  </si>
  <si>
    <t>Hard matchup, you can never trade. Best to just farm and try to make tp plays.</t>
  </si>
  <si>
    <t>Hard matchup, never get hit by his kegs, juke with e. Don't fight in his ult.</t>
  </si>
  <si>
    <t>Hard matchup, can't trade. Freeze close to turret so he can't dash through minions and stun you. Never give him that oppurtunity.</t>
  </si>
  <si>
    <t>Easy matchup, dodge his Q and take long trades once you have Phage and Sheen.</t>
  </si>
  <si>
    <t>Last 10</t>
  </si>
  <si>
    <t>Fixed average game time not calculating correctly</t>
  </si>
  <si>
    <t>Support</t>
  </si>
  <si>
    <t>Jungle</t>
  </si>
  <si>
    <t>Hard matchup, can easily bully you with Q. After he gets Sheen, don't trade.</t>
  </si>
  <si>
    <t>Play %</t>
  </si>
  <si>
    <t>General stats</t>
  </si>
  <si>
    <t>ADC</t>
  </si>
  <si>
    <t>Playrate</t>
  </si>
  <si>
    <t>Fixed CS formulas not showing anything when champion not played in last matches</t>
  </si>
  <si>
    <t>Added stats per role in matchups overview per champion</t>
  </si>
  <si>
    <t>Jhin</t>
  </si>
  <si>
    <t>Cleaned matchups overview, less clutter</t>
  </si>
  <si>
    <t>Added Jhin</t>
  </si>
  <si>
    <t>Removed dev notes</t>
  </si>
  <si>
    <t>Hard matchup, after 6 she can ult you and almost kill you, with jungler you're dead. Early levels you can poke her down.</t>
  </si>
  <si>
    <t>Losses</t>
  </si>
  <si>
    <t>, go ham on him lvl 1 with Thunderlord's. Then proceed to zone him will he chunks potions. Trade when he just used soldiers, or when he is overextended.</t>
  </si>
  <si>
    <t>Easy matchup</t>
  </si>
  <si>
    <t>Fixed some rounding and calculation issues</t>
  </si>
  <si>
    <t>Added average grade and grade values</t>
  </si>
  <si>
    <t>Hard matchup, never get hit by his kegs, juke with e. Don't fight in his ult. Take Grasp for sustain and longer fights.</t>
  </si>
  <si>
    <t>Go afk. There is no hope.</t>
  </si>
  <si>
    <t>Total</t>
  </si>
  <si>
    <t>Games per day</t>
  </si>
  <si>
    <t>Added ARAM counts</t>
  </si>
  <si>
    <t>Featured</t>
  </si>
  <si>
    <t>Added support for as much gamemodes as you want</t>
  </si>
  <si>
    <t>Region:</t>
  </si>
  <si>
    <t>ID:</t>
  </si>
  <si>
    <t>Game ID</t>
  </si>
  <si>
    <t>Multikill</t>
  </si>
  <si>
    <t>Added automatic game fetching from Riot API</t>
  </si>
  <si>
    <t>Added largest multikill per game</t>
  </si>
  <si>
    <t>Wards</t>
  </si>
  <si>
    <t>Placed</t>
  </si>
  <si>
    <t>Killed</t>
  </si>
  <si>
    <t>Custom</t>
  </si>
  <si>
    <t>Readded date</t>
  </si>
  <si>
    <t>Added ward stats</t>
  </si>
  <si>
    <t>Moved stats to Front sheet, General stats now only holds match history with summary</t>
  </si>
  <si>
    <t>Averages</t>
  </si>
  <si>
    <t>Overall (last 10 games)</t>
  </si>
  <si>
    <t>Totals</t>
  </si>
  <si>
    <t>Wards placed</t>
  </si>
  <si>
    <t>Wards killed</t>
  </si>
  <si>
    <t>All</t>
  </si>
  <si>
    <t>Added totals</t>
  </si>
  <si>
    <t>Fixed a bug where custom games appeared as featured</t>
  </si>
  <si>
    <t>Added averages for wards placed and killed</t>
  </si>
  <si>
    <t>Fixed numerous bugs regarding stats not just taking normal and ranked games into account</t>
  </si>
  <si>
    <t>API key:</t>
  </si>
  <si>
    <t>Saved!</t>
  </si>
  <si>
    <t>Added automatic deleting of id when summoner name is changed</t>
  </si>
  <si>
    <t>Added ability to set api key</t>
  </si>
  <si>
    <t>Added check for api key</t>
  </si>
  <si>
    <t>Insert your summoner name and region here:</t>
  </si>
  <si>
    <t>Summoner name:</t>
  </si>
  <si>
    <t>Added automatic lane opponent finding</t>
  </si>
  <si>
    <t>Match history analyzer</t>
  </si>
  <si>
    <t>Developed by ikhebgeenaccount</t>
  </si>
  <si>
    <t>Contribution by Godzellal</t>
  </si>
  <si>
    <t>Fixed error when not having played at least ten games</t>
  </si>
  <si>
    <t>Fixed error on not having a lane opponent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</si>
</sst>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1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</cellStyleXfs>
  <cellXfs count="59">
    <xf numFmtId="0" fontId="0" fillId="0" borderId="0" xfId="0"/>
    <xf numFmtId="0" fontId="3" fillId="0" borderId="0" xfId="0" applyFont="1"/>
    <xf numFmtId="0" fontId="0" fillId="0" borderId="0" xfId="0" applyFont="1"/>
    <xf numFmtId="9" fontId="0" fillId="0" borderId="0" xfId="1" applyFont="1"/>
    <xf numFmtId="0" fontId="5" fillId="0" borderId="0" xfId="2" applyFont="1"/>
    <xf numFmtId="1" fontId="0" fillId="0" borderId="1" xfId="0" applyNumberFormat="1" applyBorder="1" applyAlignment="1">
      <alignment horizontal="right"/>
    </xf>
    <xf numFmtId="2" fontId="0" fillId="0" borderId="1" xfId="0" applyNumberFormat="1" applyBorder="1" applyAlignment="1">
      <alignment horizontal="right"/>
    </xf>
    <xf numFmtId="9" fontId="1" fillId="0" borderId="1" xfId="1" applyFont="1" applyBorder="1"/>
    <xf numFmtId="9" fontId="0" fillId="0" borderId="1" xfId="1" applyFont="1" applyBorder="1"/>
    <xf numFmtId="0" fontId="0" fillId="0" borderId="1" xfId="0" applyBorder="1"/>
    <xf numFmtId="0" fontId="3" fillId="0" borderId="2" xfId="0" applyFont="1" applyBorder="1"/>
    <xf numFmtId="0" fontId="3" fillId="0" borderId="3" xfId="0" applyFont="1" applyBorder="1"/>
    <xf numFmtId="0" fontId="3" fillId="0" borderId="5" xfId="0" applyFont="1" applyBorder="1"/>
    <xf numFmtId="9" fontId="0" fillId="0" borderId="4" xfId="1" applyFont="1" applyBorder="1"/>
    <xf numFmtId="0" fontId="0" fillId="0" borderId="0" xfId="0" applyBorder="1" applyAlignment="1">
      <alignment horizontal="right"/>
    </xf>
    <xf numFmtId="1" fontId="0" fillId="0" borderId="0" xfId="0" applyNumberFormat="1" applyBorder="1" applyAlignment="1">
      <alignment horizontal="right"/>
    </xf>
    <xf numFmtId="0" fontId="0" fillId="0" borderId="0" xfId="0" applyBorder="1"/>
    <xf numFmtId="0" fontId="3" fillId="0" borderId="0" xfId="0" applyFont="1" applyBorder="1"/>
    <xf numFmtId="9" fontId="0" fillId="0" borderId="0" xfId="1" applyFont="1" applyBorder="1"/>
    <xf numFmtId="2" fontId="0" fillId="0" borderId="0" xfId="0" applyNumberFormat="1" applyBorder="1" applyAlignment="1">
      <alignment horizontal="right"/>
    </xf>
    <xf numFmtId="9" fontId="0" fillId="0" borderId="0" xfId="1" applyFont="1" applyAlignment="1">
      <alignment horizontal="right"/>
    </xf>
    <xf numFmtId="0" fontId="0" fillId="0" borderId="0" xfId="0" applyProtection="1">
      <protection locked="0"/>
    </xf>
    <xf numFmtId="0" fontId="3" fillId="0" borderId="6" xfId="0" applyFont="1" applyBorder="1"/>
    <xf numFmtId="164" fontId="0" fillId="0" borderId="7" xfId="0" applyNumberFormat="1" applyFont="1" applyBorder="1"/>
    <xf numFmtId="0" fontId="0" fillId="0" borderId="7" xfId="0" applyFont="1" applyBorder="1"/>
    <xf numFmtId="49" fontId="0" fillId="0" borderId="6" xfId="0" applyNumberFormat="1" applyBorder="1"/>
    <xf numFmtId="49" fontId="3" fillId="0" borderId="0" xfId="0" applyNumberFormat="1" applyFont="1" applyBorder="1"/>
    <xf numFmtId="0" fontId="3" fillId="0" borderId="7" xfId="0" applyFont="1" applyBorder="1"/>
    <xf numFmtId="0" fontId="3" fillId="0" borderId="0" xfId="0" applyFont="1" applyFill="1" applyBorder="1"/>
    <xf numFmtId="0" fontId="0" fillId="0" borderId="6" xfId="0" applyBorder="1"/>
    <xf numFmtId="0" fontId="0" fillId="0" borderId="2" xfId="0" applyBorder="1"/>
    <xf numFmtId="0" fontId="3" fillId="0" borderId="8" xfId="0" applyFont="1" applyBorder="1"/>
    <xf numFmtId="0" fontId="0" fillId="0" borderId="9" xfId="0" applyBorder="1"/>
    <xf numFmtId="0" fontId="0" fillId="0" borderId="10" xfId="0" applyBorder="1"/>
    <xf numFmtId="164" fontId="0" fillId="0" borderId="6" xfId="0" applyNumberFormat="1" applyBorder="1"/>
    <xf numFmtId="0" fontId="0" fillId="0" borderId="9" xfId="0" applyBorder="1" applyProtection="1">
      <protection locked="0"/>
    </xf>
    <xf numFmtId="0" fontId="0" fillId="0" borderId="0" xfId="0" applyBorder="1" applyProtection="1">
      <protection locked="0"/>
    </xf>
    <xf numFmtId="0" fontId="3" fillId="0" borderId="0" xfId="0" applyFont="1" applyProtection="1"/>
    <xf numFmtId="0" fontId="3" fillId="0" borderId="0" xfId="0" applyNumberFormat="1" applyFont="1" applyProtection="1"/>
    <xf numFmtId="14" fontId="3" fillId="0" borderId="0" xfId="0" applyNumberFormat="1" applyFont="1" applyProtection="1"/>
    <xf numFmtId="1" fontId="3" fillId="0" borderId="0" xfId="0" applyNumberFormat="1" applyFont="1" applyProtection="1"/>
    <xf numFmtId="0" fontId="0" fillId="0" borderId="0" xfId="0" applyFont="1" applyProtection="1"/>
    <xf numFmtId="0" fontId="0" fillId="0" borderId="0" xfId="0" applyNumberFormat="1" applyFont="1" applyProtection="1"/>
    <xf numFmtId="14" fontId="0" fillId="0" borderId="0" xfId="0" applyNumberFormat="1" applyFont="1" applyProtection="1"/>
    <xf numFmtId="1" fontId="0" fillId="0" borderId="0" xfId="0" applyNumberFormat="1" applyFont="1" applyProtection="1"/>
    <xf numFmtId="49" fontId="0" fillId="0" borderId="0" xfId="0" applyNumberFormat="1" applyFont="1" applyProtection="1"/>
    <xf numFmtId="0" fontId="0" fillId="0" borderId="0" xfId="0" applyProtection="1"/>
    <xf numFmtId="0" fontId="0" fillId="0" borderId="0" xfId="0" applyNumberFormat="1" applyProtection="1"/>
    <xf numFmtId="14" fontId="0" fillId="0" borderId="0" xfId="0" applyNumberFormat="1" applyProtection="1"/>
    <xf numFmtId="1" fontId="0" fillId="0" borderId="0" xfId="0" applyNumberFormat="1" applyProtection="1"/>
    <xf numFmtId="49" fontId="0" fillId="0" borderId="0" xfId="0" applyNumberFormat="1" applyProtection="1"/>
    <xf numFmtId="2" fontId="0" fillId="0" borderId="0" xfId="0" applyNumberFormat="1" applyFont="1" applyProtection="1"/>
    <xf numFmtId="2" fontId="0" fillId="0" borderId="0" xfId="0" applyNumberFormat="1" applyProtection="1"/>
    <xf numFmtId="0" fontId="0" fillId="0" borderId="6" xfId="0" applyBorder="1" applyProtection="1">
      <protection locked="0"/>
    </xf>
    <xf numFmtId="0" fontId="0" fillId="0" borderId="1" xfId="0" applyBorder="1" applyProtection="1">
      <protection locked="0"/>
    </xf>
    <xf numFmtId="0" fontId="3" fillId="0" borderId="10" xfId="0" applyFont="1" applyBorder="1"/>
    <xf numFmtId="0" fontId="0" fillId="0" borderId="8" xfId="0" applyFont="1" applyFill="1" applyBorder="1"/>
    <xf numFmtId="0" fontId="0" fillId="0" borderId="9" xfId="0" applyFont="1" applyFill="1" applyBorder="1"/>
    <xf numFmtId="0" fontId="0" fillId="0" borderId="8" xfId="0" applyBorder="1"/>
  </cellXfs>
  <cellStyles count="3">
    <cellStyle name="Normal" xfId="0" builtinId="0"/>
    <cellStyle name="Percent" xfId="1" builtinId="5"/>
    <cellStyle name="Warning Text" xfId="2" builtinId="11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556260</xdr:colOff>
          <xdr:row>1</xdr:row>
          <xdr:rowOff>76200</xdr:rowOff>
        </xdr:from>
        <xdr:to>
          <xdr:col>7</xdr:col>
          <xdr:colOff>83820</xdr:colOff>
          <xdr:row>5</xdr:row>
          <xdr:rowOff>38100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Update last 10 games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114300</xdr:colOff>
          <xdr:row>6</xdr:row>
          <xdr:rowOff>152400</xdr:rowOff>
        </xdr:from>
        <xdr:to>
          <xdr:col>14</xdr:col>
          <xdr:colOff>0</xdr:colOff>
          <xdr:row>10</xdr:row>
          <xdr:rowOff>30480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Add Changelog line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U22"/>
  <sheetViews>
    <sheetView tabSelected="1" workbookViewId="0">
      <selection activeCell="C3" sqref="C3"/>
    </sheetView>
  </sheetViews>
  <sheetFormatPr defaultRowHeight="14.4" x14ac:dyDescent="0.3"/>
  <cols>
    <col min="7" max="7" width="12.44140625" bestFit="1" customWidth="1"/>
    <col min="8" max="8" width="9.88671875" bestFit="1" customWidth="1"/>
    <col min="15" max="15" width="9.6640625" bestFit="1" customWidth="1"/>
    <col min="16" max="16" width="8.5546875" bestFit="1" customWidth="1"/>
    <col min="17" max="17" width="9.6640625" bestFit="1" customWidth="1"/>
    <col min="18" max="18" width="9" bestFit="1" customWidth="1"/>
    <col min="19" max="19" width="10.109375" bestFit="1" customWidth="1"/>
  </cols>
  <sheetData>
    <row r="1" spans="1:21" s="1" customFormat="1" x14ac:dyDescent="0.3"/>
    <row r="2" spans="1:21" s="1" customFormat="1" x14ac:dyDescent="0.3">
      <c r="A2" s="1" t="s">
        <v>243</v>
      </c>
    </row>
    <row r="3" spans="1:21" x14ac:dyDescent="0.3">
      <c r="A3" s="31" t="s">
        <v>244</v>
      </c>
      <c r="B3" s="32"/>
      <c r="C3" s="35"/>
      <c r="D3" s="33"/>
    </row>
    <row r="4" spans="1:21" x14ac:dyDescent="0.3">
      <c r="A4" s="27" t="s">
        <v>216</v>
      </c>
      <c r="B4" s="16"/>
      <c r="C4" s="36"/>
      <c r="D4" s="9"/>
    </row>
    <row r="5" spans="1:21" x14ac:dyDescent="0.3">
      <c r="A5" s="27" t="s">
        <v>215</v>
      </c>
      <c r="B5" s="16"/>
      <c r="C5" s="16"/>
      <c r="D5" s="9"/>
    </row>
    <row r="6" spans="1:21" x14ac:dyDescent="0.3">
      <c r="A6" s="27" t="s">
        <v>238</v>
      </c>
      <c r="B6" s="16"/>
      <c r="C6" t="s">
        <v>239</v>
      </c>
      <c r="D6" s="9"/>
    </row>
    <row r="7" spans="1:21" x14ac:dyDescent="0.3">
      <c r="A7" s="11" t="s">
        <v>211</v>
      </c>
      <c r="B7" s="29"/>
      <c r="C7" s="34">
        <f ca="1">IFERROR(SUM(D10:D14)/(MAX(GameListDate) - MIN(GameListDate)),0)</f>
        <v>0</v>
      </c>
      <c r="D7" s="30"/>
    </row>
    <row r="8" spans="1:21" x14ac:dyDescent="0.3">
      <c r="G8" s="1"/>
      <c r="H8" s="1"/>
      <c r="I8" s="1"/>
      <c r="J8" s="1"/>
      <c r="K8" s="1"/>
      <c r="L8" s="1"/>
      <c r="M8" s="1"/>
      <c r="N8" s="1"/>
      <c r="O8" s="1" t="s">
        <v>228</v>
      </c>
      <c r="P8" s="1" t="s">
        <v>229</v>
      </c>
      <c r="Q8" s="1"/>
      <c r="R8" s="1"/>
      <c r="S8" s="1"/>
      <c r="T8" s="1" t="s">
        <v>221</v>
      </c>
      <c r="U8" s="1"/>
    </row>
    <row r="9" spans="1:21" x14ac:dyDescent="0.3">
      <c r="A9" s="25"/>
      <c r="B9" s="11" t="s">
        <v>131</v>
      </c>
      <c r="C9" s="22" t="s">
        <v>203</v>
      </c>
      <c r="D9" s="11" t="s">
        <v>210</v>
      </c>
      <c r="G9" s="10"/>
      <c r="H9" s="10" t="s">
        <v>144</v>
      </c>
      <c r="I9" s="12" t="s">
        <v>192</v>
      </c>
      <c r="J9" s="10" t="s">
        <v>132</v>
      </c>
      <c r="K9" s="10" t="s">
        <v>187</v>
      </c>
      <c r="L9" s="10" t="s">
        <v>139</v>
      </c>
      <c r="M9" s="10" t="s">
        <v>140</v>
      </c>
      <c r="N9" s="10" t="s">
        <v>176</v>
      </c>
      <c r="O9" s="10" t="s">
        <v>133</v>
      </c>
      <c r="P9" s="10" t="s">
        <v>141</v>
      </c>
      <c r="Q9" s="10" t="s">
        <v>153</v>
      </c>
      <c r="R9" s="10" t="s">
        <v>158</v>
      </c>
      <c r="S9" s="11" t="s">
        <v>161</v>
      </c>
      <c r="T9" s="11" t="s">
        <v>222</v>
      </c>
      <c r="U9" s="11" t="s">
        <v>223</v>
      </c>
    </row>
    <row r="10" spans="1:21" x14ac:dyDescent="0.3">
      <c r="A10" s="26" t="s">
        <v>139</v>
      </c>
      <c r="B10" s="24">
        <f ca="1">IFERROR(SUMPRODUCT((GameListMode=A10)*(GameListWinLoss=1)),0)</f>
        <v>0</v>
      </c>
      <c r="C10" s="2">
        <f ca="1">IFERROR(SUMPRODUCT((GameListMode=A10)*(GameListWinLoss=0)),0)</f>
        <v>0</v>
      </c>
      <c r="D10" s="24">
        <f ca="1">SUM(B10:C10)</f>
        <v>0</v>
      </c>
      <c r="G10" s="9" t="s">
        <v>145</v>
      </c>
      <c r="H10" s="9">
        <f ca="1">IFERROR(
 SUMPRODUCT((GameListChampion&lt;&gt;"")*((GameListMode="Normal")+(GameListMode="Ranked"))*1),0
)</f>
        <v>0</v>
      </c>
      <c r="I10" s="13" t="e">
        <f t="shared" ref="I10:I15" ca="1" si="0">H10/$H$10</f>
        <v>#DIV/0!</v>
      </c>
      <c r="J10" s="8">
        <f ca="1">IFERROR(
 SUMPRODUCT((GameListChampion&lt;&gt;"")*((GameListMode="Normal")+(GameListMode="Ranked"))*GameListWinLoss)/$H10,0
)</f>
        <v>0</v>
      </c>
      <c r="K10" s="7">
        <f ca="1">IFERROR(
 SUMPRODUCT((GameListChampionLastGames&lt;&gt;"")*(OR(GameListModeLastGames="Normal",GameListModeLastGames="Ranked"))*GameListWinLossLastGames)/SUMPRODUCT((GameListChampionLastGames&lt;&gt;"")*1),0
)</f>
        <v>0</v>
      </c>
      <c r="L10" s="8">
        <f t="array" aca="1" ref="L10" ca="1">IFERROR(
 SUMPRODUCT((GameListChampion&lt;&gt;"")*(GameListMode="Ranked")*GameListWinLoss)
 /
 SUMPRODUCT((GameListChampion&lt;&gt;"")*(GameListMode="Ranked")),0
)</f>
        <v>0</v>
      </c>
      <c r="M10" s="8">
        <f t="array" aca="1" ref="M10" ca="1">IFERROR(
 SUMPRODUCT((GameListChampion&lt;&gt;"")*(GameListMode="Normal")*GameListWinLoss)
 /
 SUMPRODUCT((GameListChampion&lt;&gt;"")*(GameListMode="Normal")),0
)</f>
        <v>0</v>
      </c>
      <c r="N10" s="7">
        <f t="array" aca="1" ref="N10" ca="1">IFERROR(
 SUMPRODUCT((GameListChampion&lt;&gt;"")*(GameListMode="ARAM")*GameListWinLoss)
 /
 SUMPRODUCT((GameListChampion&lt;&gt;"")*(GameListMode="ARAM")),0
)</f>
        <v>0</v>
      </c>
      <c r="O10" s="6" t="str">
        <f ca="1">IFERROR(
 CONCATENATE(
  ROUND(
   SUMPRODUCT(
    (GameListChampion&lt;&gt;"")*((GameListMode="Normal")+(GameListMode="Ranked"))*((GameListKills+GameListAssists)
    /
    IF(
     SUMPRODUCT(
      (GameListChampion&lt;&gt;"")*((GameListMode="Normal")+(GameListMode="Ranked"))*GameListDeaths
      )=0,1,SUMPRODUCT(
      (GameListChampion&lt;&gt;"")*((GameListMode="Normal")+(GameListMode="Ranked"))*GameListDeaths)
     )
    )
   ),2
  )," (",
  ROUND(
   SUMPRODUCT(
    (GameListChampionLastGames&lt;&gt;"")*(OR(GameListModeLastGames="Normal",GameListModeLastGames="Ranked"))*((GameListKillsLastGames+GameListAssistsLastGames)
    /
    IF(
     SUMPRODUCT(
      (GameListChampionLastGames&lt;&gt;"")*(OR(GameListModeLastGames="Normal",GameListModeLastGames="Ranked"))*GameListDeathsLastGames
      )=0,1,SUMPRODUCT(
      (GameListChampionLastGames&lt;&gt;"")*(OR(GameListModeLastGames="Normal",GameListModeLastGames="Ranked"))*GameListDeathsLastGames)
     )
    )
   ),2
  ),")"
 ),"0 (0)"
)</f>
        <v>0 (0)</v>
      </c>
      <c r="P10" s="5" t="str">
        <f ca="1">IFERROR(
 CONCATENATE(
  ROUND(
   SUMPRODUCT(
    (GameListChampion&lt;&gt;"")*((GameListMode="Normal")+(GameListMode="Ranked"))*(GameListCS)
   )/H10,0
  )," (",ROUND(
   SUMPRODUCT(
    (GameListChampionLastGames&lt;&gt;"")*(OR(GameListModeLastGames="Normal",GameListModeLastGames="Ranked"))*(GameListCSLastGames)
   )/SUMPRODUCT((GameListChampionLastGames&lt;&gt;"")*1),0
  ),")"
 ),"0 (0)"
)</f>
        <v>0 (0)</v>
      </c>
      <c r="Q10" s="6" t="str">
        <f ca="1">IFERROR(
 CONCATENATE(
  ROUND(
   SUMPRODUCT(
    (GameListChampion&lt;&gt;"")*((GameListMode="Normal")+(GameListMode="Ranked"))*(GameListCS)
   )
   /
   SUMPRODUCT(
    (GameListChampion&lt;&gt;"")*((GameListMode="Normal")+(GameListMode="Ranked"))*(GameListMin + (GameListSec / 60))
   ),2
  )," (",
  ROUND(
   SUMPRODUCT(
    (GameListChampionLastGames&lt;&gt;"")*(OR(GameListModeLastGames="Normal",GameListModeLastGames="Ranked"))*(GameListCSLastGames)
   )
   /
   SUMPRODUCT(
    (GameListChampionLastGames&lt;&gt;"")*(OR(GameListModeLastGames="Normal",GameListModeLastGames="Ranked"))*(GameListMinLastGames + (GameListSecLastGames / 60))
   ),2
  ),")"
 ),"0 (0)"
)</f>
        <v>0 (0)</v>
      </c>
      <c r="R10" s="5" t="str">
        <f ca="1">IFERROR(
 CONCATENATE(
  ROUND(
   SUMPRODUCT(
    (GameListChampion&lt;&gt;"")*((GameListMode="Normal")+(GameListMode="Ranked"))*(GameListGold)
   )
   /
   SUMPRODUCT(
    (GameListChampion&lt;&gt;"")*((GameListMode="Normal")+(GameListMode="Ranked"))*(GameListMin + (GameListSec / 60))
   ),0
  )," (",ROUND(
   SUMPRODUCT(
    (GameListChampionLastGames&lt;&gt;"")*(OR(GameListModeLastGames="Normal",GameListModeLastGames="Ranked"))*(GameListGoldLastGames)
   )
   /
   SUMPRODUCT(
    (GameListChampionLastGames&lt;&gt;"")*(OR(GameListModeLastGames="Normal",GameListModeLastGames="Ranked"))*(GameListMinLastGames + (GameListSecLastGames / 60))
   ),0
  ),")"
 ),"0 (0)"
)</f>
        <v>0 (0)</v>
      </c>
      <c r="S10" s="14" t="str">
        <f ca="1">IFERROR(
 CONCATENATE(
  ROUNDDOWN(
   SUMPRODUCT((GameListChampion&lt;&gt;"")*((GameListMode="Normal")+(GameListMode="Ranked"))*GameListMin+(GameListSec/60))/H10,0
  ),":",ROUNDDOWN(
   (SUMPRODUCT((GameListChampion&lt;&gt;"")*((GameListMode="Normal")+(GameListMode="Ranked"))*GameListMin+(GameListSec/60))/H10
    -
   ROUNDDOWN(
    SUMPRODUCT((GameListChampion&lt;&gt;"")*((GameListMode="Normal")+(GameListMode="Ranked"))*GameListMin+(GameListSec/60))/H10,0
   ))*60,0
  )
 ),"00:00"
)</f>
        <v>00:00</v>
      </c>
      <c r="T10" s="23">
        <f ca="1">IFERROR(SUMPRODUCT((GameListChampion&lt;&gt;"")*((GameListMode="Normal")+(GameListMode="Ranked"))*GameListWardsPlaced)/SUMPRODUCT((GameListChampion&lt;&gt;"")*(GameListWardsPlaced&gt;0)*((GameListMode="Normal")+(GameListMode="Ranked"))*1),0)</f>
        <v>0</v>
      </c>
      <c r="U10" s="23">
        <f ca="1">IFERROR(SUMPRODUCT((GameListChampion&lt;&gt;"")*((GameListMode="Normal")+(GameListMode="Ranked"))*GameListWardsKilled)/SUMPRODUCT((GameListChampion&lt;&gt;"")*((GameListMode="Normal")+(GameListMode="Ranked"))*(GameListWardsKilled&lt;&gt;"")*1),0)</f>
        <v>0</v>
      </c>
    </row>
    <row r="11" spans="1:21" x14ac:dyDescent="0.3">
      <c r="A11" s="26" t="s">
        <v>140</v>
      </c>
      <c r="B11" s="24">
        <f ca="1">IFERROR(SUMPRODUCT((GameListMode=A11)*(GameListWinLoss=1)),0)</f>
        <v>0</v>
      </c>
      <c r="C11" s="2">
        <f ca="1">IFERROR(SUMPRODUCT((GameListMode=A11)*(GameListWinLoss=0)),0)</f>
        <v>0</v>
      </c>
      <c r="D11" s="24">
        <f ca="1">SUM(B11:C11)</f>
        <v>0</v>
      </c>
      <c r="G11" s="54"/>
      <c r="H11" s="9">
        <f ca="1">IFERROR(
 SUMPRODUCT(($G11&lt;&gt;"")*(GameListChampion=$G11)*((GameListMode="Normal")+(GameListMode="Ranked"))),0
)</f>
        <v>0</v>
      </c>
      <c r="I11" s="13" t="e">
        <f t="shared" ca="1" si="0"/>
        <v>#DIV/0!</v>
      </c>
      <c r="J11" s="8">
        <f ca="1">IFERROR(
 SUMPRODUCT((GameListChampion=$G11)*GameListWinLoss*((GameListMode="Normal")+(GameListMode="Ranked")))/$H11,0
)</f>
        <v>0</v>
      </c>
      <c r="K11" s="8">
        <f ca="1">IFERROR(
 SUMPRODUCT((GameListChampionLastGames=$G11)*GameListWinLossLastGames*(OR(GameListModeLastGames="Normal",GameListModeLastGames="Ranked")))/SUMPRODUCT((GameListChampionLastGames=$G11)*1),0
)</f>
        <v>0</v>
      </c>
      <c r="L11" s="8">
        <f t="array" aca="1" ref="L11" ca="1">IFERROR(
 SUMPRODUCT((GameListChampion=$G11)*(GameListMode="Ranked")*GameListWinLoss)
 /
 SUMPRODUCT((GameListChampion=$G11)*(GameListMode="Ranked")),0
)</f>
        <v>0</v>
      </c>
      <c r="M11" s="8">
        <f t="array" aca="1" ref="M11" ca="1">IFERROR(
 SUMPRODUCT((GameListChampion=$G11)*(GameListMode="Normal")*GameListWinLoss)
 /
 SUMPRODUCT((GameListChampion=$G11)*(GameListMode="Normal")),0
)</f>
        <v>0</v>
      </c>
      <c r="N11" s="8">
        <f t="array" aca="1" ref="N11" ca="1">IFERROR(
 SUMPRODUCT((GameListChampion=$G11)*(GameListMode="ARAM")*GameListWinLoss)
 /
 SUMPRODUCT((GameListChampion=$G11)*(GameListMode="ARAM")),0
)</f>
        <v>0</v>
      </c>
      <c r="O11" s="6" t="str">
        <f ca="1">IFERROR(
 CONCATENATE(
  ROUND(
   SUMPRODUCT(
    (GameListChampion=$G11)*((GameListMode="Normal")+(GameListMode="Ranked"))*((GameListKills+GameListAssists)
    /
    IF(
     SUMPRODUCT(
      (GameListChampion=$G11)*((GameListMode="Normal")+(GameListMode="Ranked"))*GameListDeaths
      )=0,1,SUMPRODUCT(
      (GameListChampion=$G11)*((GameListMode="Normal")+(GameListMode="Ranked"))*GameListDeaths)
     )
    )
   ),2
  )," (",
  ROUND(
   SUMPRODUCT(
    (GameListChampionLastGames=$G11)*(OR(GameListModeLastGames="Normal",GameListModeLastGames="Ranked"))*((GameListKillsLastGames+GameListAssistsLastGames)
    /
    IF(
     SUMPRODUCT(
      (GameListChampionLastGames=$G11)*(OR(GameListModeLastGames="Normal",GameListModeLastGames="Ranked"))*GameListDeathsLastGames
      )=0,1,SUMPRODUCT(
      (GameListChampionLastGames=$G11)*(OR(GameListModeLastGames="Normal",GameListModeLastGames="Ranked"))*GameListDeathsLastGames)
     )
    )
   ),2
  ),")"
 ),"0 (0)"
)</f>
        <v>0 (0)</v>
      </c>
      <c r="P11" s="5" t="str">
        <f ca="1">IFERROR(CONCATENATE(
  ROUND(
   SUMPRODUCT(
    (GameListChampion=$G11)*((GameListMode="Normal")+(GameListMode="Ranked"))*(GameListCS)
   )/H11,0
  )," (",ROUND(
   SUMPRODUCT(
    (GameListChampionLastGames=$G11)*(OR(GameListModeLastGames="Normal",GameListModeLastGames="Ranked"))*(GameListCSLastGames)
   )/MAX(SUMPRODUCT((GameListChampionLastGames=$G11)*1),1),0
  ),")"
 ),"0 (0)")</f>
        <v>0 (0)</v>
      </c>
      <c r="Q11" s="6" t="str">
        <f ca="1">IFERROR(
 CONCATENATE(
  ROUND(
   SUMPRODUCT(
    (GameListChampion=$G11)*((GameListMode="Normal")+(GameListMode="Ranked"))*(GameListCS)
   )
   /
   SUMPRODUCT(
    (GameListChampion=$G11)*((GameListMode="Normal")+(GameListMode="Ranked"))*(GameListMin + (GameListSec / 60))
   ),2
  )," (",
  ROUND(
   SUMPRODUCT(
    (GameListChampionLastGames=$G11)*(OR(GameListModeLastGames="Normal",GameListModeLastGames="Ranked"))*(GameListCSLastGames)
   )
   /MAX(
   SUMPRODUCT(
    (GameListChampionLastGames=$G11)*(OR(GameListModeLastGames="Normal",GameListModeLastGames="Ranked"))*(GameListMinLastGames + (GameListSecLastGames / 60))
   ),1
  ),2),")"
 ),"0 (0)"
)</f>
        <v>0 (0)</v>
      </c>
      <c r="R11" s="5" t="str">
        <f ca="1">IFERROR(
 CONCATENATE(
  ROUND(
   SUMPRODUCT(
    (GameListChampion=$G11)*((GameListMode="Normal")+(GameListMode="Ranked"))*(GameListGold)
   )
   /
   SUMPRODUCT(
    (GameListChampion=$G11)*((GameListMode="Normal")+(GameListMode="Ranked"))*(GameListMin + (GameListSec / 60))
   ),0
  )," (",ROUND(
   SUMPRODUCT(
    (GameListChampionLastGames=$G11)*(OR(GameListModeLastGames="Normal",GameListModeLastGames="Ranked"))*(GameListGoldLastGames)
   )
   /
   MAX(SUMPRODUCT(
    (GameListChampionLastGames=$G11)*(OR(GameListModeLastGames="Normal",GameListModeLastGames="Ranked"))*(GameListMinLastGames + (GameListSecLastGames / 60))
   ),1),0
  ),")"
 ),"0 (0)"
)</f>
        <v>0 (0)</v>
      </c>
      <c r="S11" s="15" t="str">
        <f ca="1">IFERROR(
CONCATENATE(
ROUNDDOWN(
SUMPRODUCT((GameListChampion=$G11)*(GameListMode&lt;&gt;"ARAM")*(GameListMin+(GameListSec/60)))/H11,0
),":",ROUNDDOWN(
(SUMPRODUCT((GameListChampion=$G11)*(GameListMode&lt;&gt;"ARAM")*(GameListMin+(GameListSec/60)))/H11
-
ROUNDDOWN(
SUMPRODUCT((GameListChampion=$G11)*(GameListMode&lt;&gt;"ARAM")*(GameListMin+(GameListSec/60)))/H11,0
))*60,0
)
),"00:00"
)</f>
        <v>00:00</v>
      </c>
      <c r="T11" s="23">
        <f ca="1">IFERROR(SUMPRODUCT((GameListChampion=G11)*((GameListMode="Normal")+(GameListMode="Ranked"))*GameListWardsPlaced)/SUMPRODUCT((GameListChampion=G11)*(GameListWardsPlaced&gt;0)*((GameListMode="Normal")+(GameListMode="Ranked"))*1),0)</f>
        <v>0</v>
      </c>
      <c r="U11" s="23">
        <f ca="1">IFERROR(SUMPRODUCT((GameListChampion=G11)*((GameListMode="Normal")+(GameListMode="Ranked"))*GameListWardsKilled)/SUMPRODUCT((GameListChampion=G11)*((GameListMode="Normal")+(GameListMode="Ranked"))*(GameListWardsKilled&lt;&gt;"")*1),0)</f>
        <v>0</v>
      </c>
    </row>
    <row r="12" spans="1:21" x14ac:dyDescent="0.3">
      <c r="A12" s="1" t="s">
        <v>176</v>
      </c>
      <c r="B12" s="24">
        <f ca="1">IFERROR(SUMPRODUCT((GameListMode=A12)*(GameListWinLoss=1)),0)</f>
        <v>0</v>
      </c>
      <c r="C12" s="2">
        <f ca="1">IFERROR(SUMPRODUCT((GameListMode=A12)*(GameListWinLoss=0)),0)</f>
        <v>0</v>
      </c>
      <c r="D12" s="24">
        <f ca="1">SUM(B12:C12)</f>
        <v>0</v>
      </c>
      <c r="G12" s="54"/>
      <c r="H12" s="9">
        <f ca="1">IFERROR(
 SUMPRODUCT(($G12&lt;&gt;"")*(GameListChampion=$G12)*((GameListMode="Normal")+(GameListMode="Ranked"))),0
)</f>
        <v>0</v>
      </c>
      <c r="I12" s="13" t="e">
        <f t="shared" ca="1" si="0"/>
        <v>#DIV/0!</v>
      </c>
      <c r="J12" s="8">
        <f ca="1">IFERROR(
 SUMPRODUCT((GameListChampion=$G12)*GameListWinLoss*((GameListMode="Normal")+(GameListMode="Ranked")))/$H12,0
)</f>
        <v>0</v>
      </c>
      <c r="K12" s="8">
        <f ca="1">IFERROR(
 SUMPRODUCT((GameListChampionLastGames=$G12)*GameListWinLossLastGames*(OR(GameListModeLastGames="Normal",GameListModeLastGames="Ranked")))/SUMPRODUCT((GameListChampionLastGames=$G12)*1),0
)</f>
        <v>0</v>
      </c>
      <c r="L12" s="8">
        <f t="array" aca="1" ref="L12" ca="1">IFERROR(
 SUMPRODUCT((GameListChampion=$G12)*(GameListMode="Ranked")*GameListWinLoss)
 /
 SUMPRODUCT((GameListChampion=$G12)*(GameListMode="Ranked")),0
)</f>
        <v>0</v>
      </c>
      <c r="M12" s="8">
        <f t="array" aca="1" ref="M12" ca="1">IFERROR(
 SUMPRODUCT((GameListChampion=$G12)*(GameListMode="Normal")*GameListWinLoss)
 /
 SUMPRODUCT((GameListChampion=$G12)*(GameListMode="Normal")),0
)</f>
        <v>0</v>
      </c>
      <c r="N12" s="8">
        <f t="array" aca="1" ref="N12" ca="1">IFERROR(
 SUMPRODUCT((GameListChampion=$G12)*(GameListMode="ARAM")*GameListWinLoss)
 /
 SUMPRODUCT((GameListChampion=$G12)*(GameListMode="ARAM")),0
)</f>
        <v>0</v>
      </c>
      <c r="O12" s="6" t="str">
        <f ca="1">IFERROR(
 CONCATENATE(
  ROUND(
   SUMPRODUCT(
    (GameListChampion=$G12)*((GameListMode="Normal")+(GameListMode="Ranked"))*((GameListKills+GameListAssists)
    /
    IF(
     SUMPRODUCT(
      (GameListChampion=$G12)*((GameListMode="Normal")+(GameListMode="Ranked"))*GameListDeaths
      )=0,1,SUMPRODUCT(
      (GameListChampion=$G12)*((GameListMode="Normal")+(GameListMode="Ranked"))*GameListDeaths)
     )
    )
   ),2
  )," (",
  ROUND(
   SUMPRODUCT(
    (GameListChampionLastGames=$G12)*(OR(GameListModeLastGames="Normal",GameListModeLastGames="Ranked"))*((GameListKillsLastGames+GameListAssistsLastGames)
    /
    IF(
     SUMPRODUCT(
      (GameListChampionLastGames=$G12)*(OR(GameListModeLastGames="Normal",GameListModeLastGames="Ranked"))*GameListDeathsLastGames
      )=0,1,SUMPRODUCT(
      (GameListChampionLastGames=$G12)*(OR(GameListModeLastGames="Normal",GameListModeLastGames="Ranked"))*GameListDeathsLastGames)
     )
    )
   ),2
  ),")"
 ),"0 (0)"
)</f>
        <v>0 (0)</v>
      </c>
      <c r="P12" s="5" t="str">
        <f ca="1">IFERROR(CONCATENATE(
  ROUND(
   SUMPRODUCT(
    (GameListChampion=$G12)*((GameListMode="Normal")+(GameListMode="Ranked"))*(GameListCS)
   )/H12,0
  )," (",ROUND(
   SUMPRODUCT(
    (GameListChampionLastGames=$G12)*(OR(GameListModeLastGames="Normal",GameListModeLastGames="Ranked"))*(GameListCSLastGames)
   )/MAX(SUMPRODUCT((GameListChampionLastGames=$G12)*1),1),0
  ),")"
 ),"0 (0)")</f>
        <v>0 (0)</v>
      </c>
      <c r="Q12" s="6" t="str">
        <f ca="1">IFERROR(
 CONCATENATE(
  ROUND(
   SUMPRODUCT(
    (GameListChampion=$G12)*((GameListMode="Normal")+(GameListMode="Ranked"))*(GameListCS)
   )
   /
   SUMPRODUCT(
    (GameListChampion=$G12)*((GameListMode="Normal")+(GameListMode="Ranked"))*(GameListMin + (GameListSec / 60))
   ),2
  )," (",
  ROUND(
   SUMPRODUCT(
    (GameListChampionLastGames=$G12)*(OR(GameListModeLastGames="Normal",GameListModeLastGames="Ranked"))*(GameListCSLastGames)
   )
   /MAX(
   SUMPRODUCT(
    (GameListChampionLastGames=$G12)*(OR(GameListModeLastGames="Normal",GameListModeLastGames="Ranked"))*(GameListMinLastGames + (GameListSecLastGames / 60))
   ),1
  ),2),")"
 ),"0 (0)"
)</f>
        <v>0 (0)</v>
      </c>
      <c r="R12" s="5" t="str">
        <f ca="1">IFERROR(
 CONCATENATE(
  ROUND(
   SUMPRODUCT(
    (GameListChampion=$G12)*((GameListMode="Normal")+(GameListMode="Ranked"))*(GameListGold)
   )
   /
   SUMPRODUCT(
    (GameListChampion=$G12)*((GameListMode="Normal")+(GameListMode="Ranked"))*(GameListMin + (GameListSec / 60))
   ),0
  )," (",ROUND(
   SUMPRODUCT(
    (GameListChampionLastGames=$G12)*(OR(GameListModeLastGames="Normal",GameListModeLastGames="Ranked"))*(GameListGoldLastGames)
   )
   /
   MAX(SUMPRODUCT(
    (GameListChampionLastGames=$G12)*(OR(GameListModeLastGames="Normal",GameListModeLastGames="Ranked"))*(GameListMinLastGames + (GameListSecLastGames / 60))
   ),1),0
  ),")"
 ),"0 (0)"
)</f>
        <v>0 (0)</v>
      </c>
      <c r="S12" s="15" t="str">
        <f ca="1">IFERROR(
CONCATENATE(
ROUNDDOWN(
SUMPRODUCT((GameListChampion=$G12)*(GameListMode&lt;&gt;"ARAM")*(GameListMin+(GameListSec/60)))/H12,0
),":",ROUNDDOWN(
(SUMPRODUCT((GameListChampion=$G12)*(GameListMode&lt;&gt;"ARAM")*(GameListMin+(GameListSec/60)))/H12
-
ROUNDDOWN(
SUMPRODUCT((GameListChampion=$G12)*(GameListMode&lt;&gt;"ARAM")*(GameListMin+(GameListSec/60)))/H12,0
))*60,0
)
),"00:00"
)</f>
        <v>00:00</v>
      </c>
      <c r="T12" s="23">
        <f ca="1">IFERROR(SUMPRODUCT((GameListChampion=G12)*((GameListMode="Normal")+(GameListMode="Ranked"))*GameListWardsPlaced)/SUMPRODUCT((GameListChampion=G12)*(GameListWardsPlaced&gt;0)*((GameListMode="Normal")+(GameListMode="Ranked"))*1),0)</f>
        <v>0</v>
      </c>
      <c r="U12" s="23">
        <f ca="1">IFERROR(SUMPRODUCT((GameListChampion=G12)*((GameListMode="Normal")+(GameListMode="Ranked"))*GameListWardsKilled)/SUMPRODUCT((GameListChampion=G12)*((GameListMode="Normal")+(GameListMode="Ranked"))*(GameListWardsKilled&lt;&gt;"")*1),0)</f>
        <v>0</v>
      </c>
    </row>
    <row r="13" spans="1:21" x14ac:dyDescent="0.3">
      <c r="A13" s="1" t="s">
        <v>213</v>
      </c>
      <c r="B13" s="24">
        <f ca="1">IFERROR(SUMPRODUCT((GameListMode=A13)*(GameListWinLoss=1)),0)</f>
        <v>0</v>
      </c>
      <c r="C13" s="2">
        <f ca="1">IFERROR(SUMPRODUCT((GameListMode=A13)*(GameListWinLoss=0)),0)</f>
        <v>0</v>
      </c>
      <c r="D13" s="24">
        <f ca="1">SUM(B13:C13)</f>
        <v>0</v>
      </c>
      <c r="G13" s="54"/>
      <c r="H13" s="9">
        <f ca="1">IFERROR(
 SUMPRODUCT(($G13&lt;&gt;"")*(GameListChampion=$G13)*((GameListMode="Normal")+(GameListMode="Ranked"))),0
)</f>
        <v>0</v>
      </c>
      <c r="I13" s="13" t="e">
        <f t="shared" ca="1" si="0"/>
        <v>#DIV/0!</v>
      </c>
      <c r="J13" s="8">
        <f ca="1">IFERROR(
 SUMPRODUCT((GameListChampion=$G13)*GameListWinLoss*((GameListMode="Normal")+(GameListMode="Ranked")))/$H13,0
)</f>
        <v>0</v>
      </c>
      <c r="K13" s="8">
        <f ca="1">IFERROR(
 SUMPRODUCT((GameListChampionLastGames=$G13)*GameListWinLossLastGames*(OR(GameListModeLastGames="Normal",GameListModeLastGames="Ranked")))/SUMPRODUCT((GameListChampionLastGames=$G13)*1),0
)</f>
        <v>0</v>
      </c>
      <c r="L13" s="8">
        <f t="array" aca="1" ref="L13" ca="1">IFERROR(
 SUMPRODUCT((GameListChampion=$G13)*(GameListMode="Ranked")*GameListWinLoss)
 /
 SUMPRODUCT((GameListChampion=$G13)*(GameListMode="Ranked")),0
)</f>
        <v>0</v>
      </c>
      <c r="M13" s="8">
        <f t="array" aca="1" ref="M13" ca="1">IFERROR(
 SUMPRODUCT((GameListChampion=$G13)*(GameListMode="Normal")*GameListWinLoss)
 /
 SUMPRODUCT((GameListChampion=$G13)*(GameListMode="Normal")),0
)</f>
        <v>0</v>
      </c>
      <c r="N13" s="8">
        <f t="array" aca="1" ref="N13" ca="1">IFERROR(
 SUMPRODUCT((GameListChampion=$G13)*(GameListMode="ARAM")*GameListWinLoss)
 /
 SUMPRODUCT((GameListChampion=$G13)*(GameListMode="ARAM")),0
)</f>
        <v>0</v>
      </c>
      <c r="O13" s="6" t="str">
        <f ca="1">IFERROR(
 CONCATENATE(
  ROUND(
   SUMPRODUCT(
    (GameListChampion=$G13)*((GameListMode="Normal")+(GameListMode="Ranked"))*((GameListKills+GameListAssists)
    /
    IF(
     SUMPRODUCT(
      (GameListChampion=$G13)*((GameListMode="Normal")+(GameListMode="Ranked"))*GameListDeaths
      )=0,1,SUMPRODUCT(
      (GameListChampion=$G13)*((GameListMode="Normal")+(GameListMode="Ranked"))*GameListDeaths)
     )
    )
   ),2
  )," (",
  ROUND(
   SUMPRODUCT(
    (GameListChampionLastGames=$G13)*(OR(GameListModeLastGames="Normal",GameListModeLastGames="Ranked"))*((GameListKillsLastGames+GameListAssistsLastGames)
    /
    IF(
     SUMPRODUCT(
      (GameListChampionLastGames=$G13)*(OR(GameListModeLastGames="Normal",GameListModeLastGames="Ranked"))*GameListDeathsLastGames
      )=0,1,SUMPRODUCT(
      (GameListChampionLastGames=$G13)*(OR(GameListModeLastGames="Normal",GameListModeLastGames="Ranked"))*GameListDeathsLastGames)
     )
    )
   ),2
  ),")"
 ),"0 (0)"
)</f>
        <v>0 (0)</v>
      </c>
      <c r="P13" s="5" t="str">
        <f ca="1">IFERROR(CONCATENATE(
  ROUND(
   SUMPRODUCT(
    (GameListChampion=$G13)*((GameListMode="Normal")+(GameListMode="Ranked"))*(GameListCS)
   )/H13,0
  )," (",ROUND(
   SUMPRODUCT(
    (GameListChampionLastGames=$G13)*(OR(GameListModeLastGames="Normal",GameListModeLastGames="Ranked"))*(GameListCSLastGames)
   )/MAX(SUMPRODUCT((GameListChampionLastGames=$G13)*1),1),0
  ),")"
 ),"0 (0)")</f>
        <v>0 (0)</v>
      </c>
      <c r="Q13" s="6" t="str">
        <f ca="1">IFERROR(
 CONCATENATE(
  ROUND(
   SUMPRODUCT(
    (GameListChampion=$G13)*((GameListMode="Normal")+(GameListMode="Ranked"))*(GameListCS)
   )
   /
   SUMPRODUCT(
    (GameListChampion=$G13)*((GameListMode="Normal")+(GameListMode="Ranked"))*(GameListMin + (GameListSec / 60))
   ),2
  )," (",
  ROUND(
   SUMPRODUCT(
    (GameListChampionLastGames=$G13)*(OR(GameListModeLastGames="Normal",GameListModeLastGames="Ranked"))*(GameListCSLastGames)
   )
   /MAX(
   SUMPRODUCT(
    (GameListChampionLastGames=$G13)*(OR(GameListModeLastGames="Normal",GameListModeLastGames="Ranked"))*(GameListMinLastGames + (GameListSecLastGames / 60))
   ),1
  ),2),")"
 ),"0 (0)"
)</f>
        <v>0 (0)</v>
      </c>
      <c r="R13" s="5" t="str">
        <f ca="1">IFERROR(
 CONCATENATE(
  ROUND(
   SUMPRODUCT(
    (GameListChampion=$G13)*((GameListMode="Normal")+(GameListMode="Ranked"))*(GameListGold)
   )
   /
   SUMPRODUCT(
    (GameListChampion=$G13)*((GameListMode="Normal")+(GameListMode="Ranked"))*(GameListMin + (GameListSec / 60))
   ),0
  )," (",ROUND(
   SUMPRODUCT(
    (GameListChampionLastGames=$G13)*(OR(GameListModeLastGames="Normal",GameListModeLastGames="Ranked"))*(GameListGoldLastGames)
   )
   /
   MAX(SUMPRODUCT(
    (GameListChampionLastGames=$G13)*(OR(GameListModeLastGames="Normal",GameListModeLastGames="Ranked"))*(GameListMinLastGames + (GameListSecLastGames / 60))
   ),1),0
  ),")"
 ),"0 (0)"
)</f>
        <v>0 (0)</v>
      </c>
      <c r="S13" s="15" t="str">
        <f ca="1">IFERROR(
CONCATENATE(
ROUNDDOWN(
SUMPRODUCT((GameListChampion=$G13)*(GameListMode&lt;&gt;"ARAM")*(GameListMin+(GameListSec/60)))/H13,0
),":",ROUNDDOWN(
(SUMPRODUCT((GameListChampion=$G13)*(GameListMode&lt;&gt;"ARAM")*(GameListMin+(GameListSec/60)))/H13
-
ROUNDDOWN(
SUMPRODUCT((GameListChampion=$G13)*(GameListMode&lt;&gt;"ARAM")*(GameListMin+(GameListSec/60)))/H13,0
))*60,0
)
),"00:00"
)</f>
        <v>00:00</v>
      </c>
      <c r="T13" s="23">
        <f ca="1">IFERROR(SUMPRODUCT((GameListChampion=G13)*((GameListMode="Normal")+(GameListMode="Ranked"))*GameListWardsPlaced)/SUMPRODUCT((GameListChampion=G13)*(GameListWardsPlaced&gt;0)*((GameListMode="Normal")+(GameListMode="Ranked"))*1),0)</f>
        <v>0</v>
      </c>
      <c r="U13" s="23">
        <f ca="1">IFERROR(SUMPRODUCT((GameListChampion=G13)*((GameListMode="Normal")+(GameListMode="Ranked"))*GameListWardsKilled)/SUMPRODUCT((GameListChampion=G13)*((GameListMode="Normal")+(GameListMode="Ranked"))*(GameListWardsKilled&lt;&gt;"")*1),0)</f>
        <v>0</v>
      </c>
    </row>
    <row r="14" spans="1:21" x14ac:dyDescent="0.3">
      <c r="A14" s="1" t="s">
        <v>224</v>
      </c>
      <c r="B14" s="24">
        <f ca="1">IFERROR(SUMPRODUCT((GameListMode=A14)*(GameListWinLoss=1)),0)</f>
        <v>0</v>
      </c>
      <c r="C14" s="2">
        <f ca="1">IFERROR(SUMPRODUCT((GameListMode=A14)*(GameListWinLoss=0)),0)</f>
        <v>0</v>
      </c>
      <c r="D14" s="24">
        <f ca="1">SUM(B14:C14)</f>
        <v>0</v>
      </c>
      <c r="G14" s="54"/>
      <c r="H14" s="9">
        <f ca="1">IFERROR(
 SUMPRODUCT(($G14&lt;&gt;"")*(GameListChampion=$G14)*((GameListMode="Normal")+(GameListMode="Ranked"))),0
)</f>
        <v>0</v>
      </c>
      <c r="I14" s="13" t="e">
        <f t="shared" ca="1" si="0"/>
        <v>#DIV/0!</v>
      </c>
      <c r="J14" s="8">
        <f ca="1">IFERROR(
 SUMPRODUCT((GameListChampion=$G14)*GameListWinLoss*((GameListMode="Normal")+(GameListMode="Ranked")))/$H14,0
)</f>
        <v>0</v>
      </c>
      <c r="K14" s="8">
        <f ca="1">IFERROR(
 SUMPRODUCT((GameListChampionLastGames=$G14)*GameListWinLossLastGames*(OR(GameListModeLastGames="Normal",GameListModeLastGames="Ranked")))/SUMPRODUCT((GameListChampionLastGames=$G14)*1),0
)</f>
        <v>0</v>
      </c>
      <c r="L14" s="8">
        <f t="array" aca="1" ref="L14" ca="1">IFERROR(
 SUMPRODUCT((GameListChampion=$G14)*(GameListMode="Ranked")*GameListWinLoss)
 /
 SUMPRODUCT((GameListChampion=$G14)*(GameListMode="Ranked")),0
)</f>
        <v>0</v>
      </c>
      <c r="M14" s="8">
        <f t="array" aca="1" ref="M14" ca="1">IFERROR(
 SUMPRODUCT((GameListChampion=$G14)*(GameListMode="Normal")*GameListWinLoss)
 /
 SUMPRODUCT((GameListChampion=$G14)*(GameListMode="Normal")),0
)</f>
        <v>0</v>
      </c>
      <c r="N14" s="8">
        <f t="array" aca="1" ref="N14" ca="1">IFERROR(
 SUMPRODUCT((GameListChampion=$G14)*(GameListMode="ARAM")*GameListWinLoss)
 /
 SUMPRODUCT((GameListChampion=$G14)*(GameListMode="ARAM")),0
)</f>
        <v>0</v>
      </c>
      <c r="O14" s="6" t="str">
        <f ca="1">IFERROR(
 CONCATENATE(
  ROUND(
   SUMPRODUCT(
    (GameListChampion=$G14)*((GameListMode="Normal")+(GameListMode="Ranked"))*((GameListKills+GameListAssists)
    /
    IF(
     SUMPRODUCT(
      (GameListChampion=$G14)*((GameListMode="Normal")+(GameListMode="Ranked"))*GameListDeaths
      )=0,1,SUMPRODUCT(
      (GameListChampion=$G14)*((GameListMode="Normal")+(GameListMode="Ranked"))*GameListDeaths)
     )
    )
   ),2
  )," (",
  ROUND(
   SUMPRODUCT(
    (GameListChampionLastGames=$G14)*(OR(GameListModeLastGames="Normal",GameListModeLastGames="Ranked"))*((GameListKillsLastGames+GameListAssistsLastGames)
    /
    IF(
     SUMPRODUCT(
      (GameListChampionLastGames=$G14)*(OR(GameListModeLastGames="Normal",GameListModeLastGames="Ranked"))*GameListDeathsLastGames
      )=0,1,SUMPRODUCT(
      (GameListChampionLastGames=$G14)*(OR(GameListModeLastGames="Normal",GameListModeLastGames="Ranked"))*GameListDeathsLastGames)
     )
    )
   ),2
  ),")"
 ),"0 (0)"
)</f>
        <v>0 (0)</v>
      </c>
      <c r="P14" s="5" t="str">
        <f ca="1">IFERROR(CONCATENATE(
  ROUND(
   SUMPRODUCT(
    (GameListChampion=$G14)*((GameListMode="Normal")+(GameListMode="Ranked"))*(GameListCS)
   )/H14,0
  )," (",ROUND(
   SUMPRODUCT(
    (GameListChampionLastGames=$G14)*(OR(GameListModeLastGames="Normal",GameListModeLastGames="Ranked"))*(GameListCSLastGames)
   )/MAX(SUMPRODUCT((GameListChampionLastGames=$G14)*1),1),0
  ),")"
 ),"0 (0)")</f>
        <v>0 (0)</v>
      </c>
      <c r="Q14" s="6" t="str">
        <f ca="1">IFERROR(
 CONCATENATE(
  ROUND(
   SUMPRODUCT(
    (GameListChampion=$G14)*((GameListMode="Normal")+(GameListMode="Ranked"))*(GameListCS)
   )
   /
   SUMPRODUCT(
    (GameListChampion=$G14)*((GameListMode="Normal")+(GameListMode="Ranked"))*(GameListMin + (GameListSec / 60))
   ),2
  )," (",
  ROUND(
   SUMPRODUCT(
    (GameListChampionLastGames=$G14)*(OR(GameListModeLastGames="Normal",GameListModeLastGames="Ranked"))*(GameListCSLastGames)
   )
   /MAX(
   SUMPRODUCT(
    (GameListChampionLastGames=$G14)*(OR(GameListModeLastGames="Normal",GameListModeLastGames="Ranked"))*(GameListMinLastGames + (GameListSecLastGames / 60))
   ),1
  ),2),")"
 ),"0 (0)"
)</f>
        <v>0 (0)</v>
      </c>
      <c r="R14" s="5" t="str">
        <f ca="1">IFERROR(
 CONCATENATE(
  ROUND(
   SUMPRODUCT(
    (GameListChampion=$G14)*((GameListMode="Normal")+(GameListMode="Ranked"))*(GameListGold)
   )
   /
   SUMPRODUCT(
    (GameListChampion=$G14)*((GameListMode="Normal")+(GameListMode="Ranked"))*(GameListMin + (GameListSec / 60))
   ),0
  )," (",ROUND(
   SUMPRODUCT(
    (GameListChampionLastGames=$G14)*(OR(GameListModeLastGames="Normal",GameListModeLastGames="Ranked"))*(GameListGoldLastGames)
   )
   /
   MAX(SUMPRODUCT(
    (GameListChampionLastGames=$G14)*(OR(GameListModeLastGames="Normal",GameListModeLastGames="Ranked"))*(GameListMinLastGames + (GameListSecLastGames / 60))
   ),1),0
  ),")"
 ),"0 (0)"
)</f>
        <v>0 (0)</v>
      </c>
      <c r="S14" s="15" t="str">
        <f ca="1">IFERROR(
CONCATENATE(
ROUNDDOWN(
SUMPRODUCT((GameListChampion=$G14)*(GameListMode&lt;&gt;"ARAM")*(GameListMin+(GameListSec/60)))/H14,0
),":",ROUNDDOWN(
(SUMPRODUCT((GameListChampion=$G14)*(GameListMode&lt;&gt;"ARAM")*(GameListMin+(GameListSec/60)))/H14
-
ROUNDDOWN(
SUMPRODUCT((GameListChampion=$G14)*(GameListMode&lt;&gt;"ARAM")*(GameListMin+(GameListSec/60)))/H14,0
))*60,0
)
),"00:00"
)</f>
        <v>00:00</v>
      </c>
      <c r="T14" s="23">
        <f ca="1">IFERROR(SUMPRODUCT((GameListChampion=G14)*((GameListMode="Normal")+(GameListMode="Ranked"))*GameListWardsPlaced)/SUMPRODUCT((GameListChampion=G14)*(GameListWardsPlaced&gt;0)*((GameListMode="Normal")+(GameListMode="Ranked"))*1),0)</f>
        <v>0</v>
      </c>
      <c r="U14" s="23">
        <f ca="1">IFERROR(SUMPRODUCT((GameListChampion=G14)*((GameListMode="Normal")+(GameListMode="Ranked"))*GameListWardsKilled)/SUMPRODUCT((GameListChampion=G14)*((GameListMode="Normal")+(GameListMode="Ranked"))*(GameListWardsKilled&lt;&gt;"")*1),0)</f>
        <v>0</v>
      </c>
    </row>
    <row r="15" spans="1:21" x14ac:dyDescent="0.3">
      <c r="A15" s="55" t="s">
        <v>210</v>
      </c>
      <c r="B15" s="56">
        <f ca="1">SUM(B10:B14)</f>
        <v>0</v>
      </c>
      <c r="C15" s="57">
        <f ca="1">SUM(C10:C14)</f>
        <v>0</v>
      </c>
      <c r="D15" s="58">
        <f ca="1">B15+C15</f>
        <v>0</v>
      </c>
      <c r="G15" s="54"/>
      <c r="H15" s="9">
        <f ca="1">IFERROR(
 SUMPRODUCT(($G15&lt;&gt;"")*(GameListChampion=$G15)*((GameListMode="Normal")+(GameListMode="Ranked"))),0
)</f>
        <v>0</v>
      </c>
      <c r="I15" s="13" t="e">
        <f t="shared" ca="1" si="0"/>
        <v>#DIV/0!</v>
      </c>
      <c r="J15" s="8">
        <f ca="1">IFERROR(
 SUMPRODUCT((GameListChampion=$G15)*GameListWinLoss*((GameListMode="Normal")+(GameListMode="Ranked")))/$H15,0
)</f>
        <v>0</v>
      </c>
      <c r="K15" s="8">
        <f ca="1">IFERROR(
 SUMPRODUCT((GameListChampionLastGames=$G15)*GameListWinLossLastGames*(OR(GameListModeLastGames="Normal",GameListModeLastGames="Ranked")))/SUMPRODUCT((GameListChampionLastGames=$G15)*1),0
)</f>
        <v>0</v>
      </c>
      <c r="L15" s="8">
        <f t="array" aca="1" ref="L15" ca="1">IFERROR(
 SUMPRODUCT((GameListChampion=$G15)*(GameListMode="Ranked")*GameListWinLoss)
 /
 SUMPRODUCT((GameListChampion=$G15)*(GameListMode="Ranked")),0
)</f>
        <v>0</v>
      </c>
      <c r="M15" s="8">
        <f t="array" aca="1" ref="M15" ca="1">IFERROR(
 SUMPRODUCT((GameListChampion=$G15)*(GameListMode="Normal")*GameListWinLoss)
 /
 SUMPRODUCT((GameListChampion=$G15)*(GameListMode="Normal")),0
)</f>
        <v>0</v>
      </c>
      <c r="N15" s="8">
        <f t="array" aca="1" ref="N15" ca="1">IFERROR(
 SUMPRODUCT((GameListChampion=$G15)*(GameListMode="ARAM")*GameListWinLoss)
 /
 SUMPRODUCT((GameListChampion=$G15)*(GameListMode="ARAM")),0
)</f>
        <v>0</v>
      </c>
      <c r="O15" s="6" t="str">
        <f ca="1">IFERROR(
 CONCATENATE(
  ROUND(
   SUMPRODUCT(
    (GameListChampion=$G15)*((GameListMode="Normal")+(GameListMode="Ranked"))*((GameListKills+GameListAssists)
    /
    IF(
     SUMPRODUCT(
      (GameListChampion=$G15)*((GameListMode="Normal")+(GameListMode="Ranked"))*GameListDeaths
      )=0,1,SUMPRODUCT(
      (GameListChampion=$G15)*((GameListMode="Normal")+(GameListMode="Ranked"))*GameListDeaths)
     )
    )
   ),2
  )," (",
  ROUND(
   SUMPRODUCT(
    (GameListChampionLastGames=$G15)*(OR(GameListModeLastGames="Normal",GameListModeLastGames="Ranked"))*((GameListKillsLastGames+GameListAssistsLastGames)
    /
    IF(
     SUMPRODUCT(
      (GameListChampionLastGames=$G15)*(OR(GameListModeLastGames="Normal",GameListModeLastGames="Ranked"))*GameListDeathsLastGames
      )=0,1,SUMPRODUCT(
      (GameListChampionLastGames=$G15)*(OR(GameListModeLastGames="Normal",GameListModeLastGames="Ranked"))*GameListDeathsLastGames)
     )
    )
   ),2
  ),")"
 ),"0 (0)"
)</f>
        <v>0 (0)</v>
      </c>
      <c r="P15" s="5" t="str">
        <f ca="1">IFERROR(CONCATENATE(
  ROUND(
   SUMPRODUCT(
    (GameListChampion=$G15)*((GameListMode="Normal")+(GameListMode="Ranked"))*(GameListCS)
   )/H15,0
  )," (",ROUND(
   SUMPRODUCT(
    (GameListChampionLastGames=$G15)*(OR(GameListModeLastGames="Normal",GameListModeLastGames="Ranked"))*(GameListCSLastGames)
   )/MAX(SUMPRODUCT((GameListChampionLastGames=$G15)*1),1),0
  ),")"
 ),"0 (0)")</f>
        <v>0 (0)</v>
      </c>
      <c r="Q15" s="6" t="str">
        <f ca="1">IFERROR(
 CONCATENATE(
  ROUND(
   SUMPRODUCT(
    (GameListChampion=$G15)*((GameListMode="Normal")+(GameListMode="Ranked"))*(GameListCS)
   )
   /
   SUMPRODUCT(
    (GameListChampion=$G15)*((GameListMode="Normal")+(GameListMode="Ranked"))*(GameListMin + (GameListSec / 60))
   ),2
  )," (",
  ROUND(
   SUMPRODUCT(
    (GameListChampionLastGames=$G15)*(OR(GameListModeLastGames="Normal",GameListModeLastGames="Ranked"))*(GameListCSLastGames)
   )
   /MAX(
   SUMPRODUCT(
    (GameListChampionLastGames=$G15)*(OR(GameListModeLastGames="Normal",GameListModeLastGames="Ranked"))*(GameListMinLastGames + (GameListSecLastGames / 60))
   ),1
  ),2),")"
 ),"0 (0)"
)</f>
        <v>0 (0)</v>
      </c>
      <c r="R15" s="5" t="str">
        <f ca="1">IFERROR(
 CONCATENATE(
  ROUND(
   SUMPRODUCT(
    (GameListChampion=$G15)*((GameListMode="Normal")+(GameListMode="Ranked"))*(GameListGold)
   )
   /
   SUMPRODUCT(
    (GameListChampion=$G15)*((GameListMode="Normal")+(GameListMode="Ranked"))*(GameListMin + (GameListSec / 60))
   ),0
  )," (",ROUND(
   SUMPRODUCT(
    (GameListChampionLastGames=$G15)*(OR(GameListModeLastGames="Normal",GameListModeLastGames="Ranked"))*(GameListGoldLastGames)
   )
   /
   MAX(SUMPRODUCT(
    (GameListChampionLastGames=$G15)*(OR(GameListModeLastGames="Normal",GameListModeLastGames="Ranked"))*(GameListMinLastGames + (GameListSecLastGames / 60))
   ),1),0
  ),")"
 ),"0 (0)"
)</f>
        <v>0 (0)</v>
      </c>
      <c r="S15" s="15" t="str">
        <f ca="1">IFERROR(
CONCATENATE(
ROUNDDOWN(
SUMPRODUCT((GameListChampion=$G15)*(GameListMode&lt;&gt;"ARAM")*(GameListMin+(GameListSec/60)))/H15,0
),":",ROUNDDOWN(
(SUMPRODUCT((GameListChampion=$G15)*(GameListMode&lt;&gt;"ARAM")*(GameListMin+(GameListSec/60)))/H15
-
ROUNDDOWN(
SUMPRODUCT((GameListChampion=$G15)*(GameListMode&lt;&gt;"ARAM")*(GameListMin+(GameListSec/60)))/H15,0
))*60,0
)
),"00:00"
)</f>
        <v>00:00</v>
      </c>
      <c r="T15" s="23">
        <f ca="1">IFERROR(SUMPRODUCT((GameListChampion=G15)*((GameListMode="Normal")+(GameListMode="Ranked"))*GameListWardsPlaced)/SUMPRODUCT((GameListChampion=G15)*(GameListWardsPlaced&gt;0)*((GameListMode="Normal")+(GameListMode="Ranked"))*1),0)</f>
        <v>0</v>
      </c>
      <c r="U15" s="23">
        <f ca="1">IFERROR(SUMPRODUCT((GameListChampion=G15)*((GameListMode="Normal")+(GameListMode="Ranked"))*GameListWardsKilled)/SUMPRODUCT((GameListChampion=G15)*((GameListMode="Normal")+(GameListMode="Ranked"))*(GameListWardsKilled&lt;&gt;"")*1),0)</f>
        <v>0</v>
      </c>
    </row>
    <row r="17" spans="1:4" x14ac:dyDescent="0.3">
      <c r="A17" s="22" t="s">
        <v>230</v>
      </c>
      <c r="B17" s="30"/>
      <c r="C17" s="29" t="s">
        <v>233</v>
      </c>
      <c r="D17" s="53"/>
    </row>
    <row r="18" spans="1:4" x14ac:dyDescent="0.3">
      <c r="A18" s="28" t="s">
        <v>136</v>
      </c>
      <c r="B18" s="9"/>
      <c r="C18" s="16">
        <f ca="1">SUMPRODUCT(GameListKills)</f>
        <v>0</v>
      </c>
      <c r="D18" s="16">
        <f ca="1">SUMPRODUCT(GameListKills*(GameListChampion=D17))</f>
        <v>0</v>
      </c>
    </row>
    <row r="19" spans="1:4" x14ac:dyDescent="0.3">
      <c r="A19" s="28" t="s">
        <v>137</v>
      </c>
      <c r="B19" s="9"/>
      <c r="C19" s="16">
        <f ca="1">SUMPRODUCT(GameListDeaths)</f>
        <v>0</v>
      </c>
      <c r="D19" s="16">
        <f ca="1">SUMPRODUCT(GameListDeaths*(GameListChampion=D17))</f>
        <v>0</v>
      </c>
    </row>
    <row r="20" spans="1:4" x14ac:dyDescent="0.3">
      <c r="A20" s="28" t="s">
        <v>138</v>
      </c>
      <c r="B20" s="9"/>
      <c r="C20" s="16">
        <f ca="1">SUMPRODUCT(GameListAssists)</f>
        <v>0</v>
      </c>
      <c r="D20" s="16">
        <f ca="1">SUMPRODUCT(GameListAssists*(GameListChampion=D17))</f>
        <v>0</v>
      </c>
    </row>
    <row r="21" spans="1:4" x14ac:dyDescent="0.3">
      <c r="A21" s="28" t="s">
        <v>231</v>
      </c>
      <c r="B21" s="9"/>
      <c r="C21" s="16">
        <f ca="1">SUMPRODUCT(GameListWardsPlaced)</f>
        <v>0</v>
      </c>
      <c r="D21" s="16">
        <f ca="1">SUMPRODUCT(GameListWardsPlaced*(GameListChampion=D17))</f>
        <v>0</v>
      </c>
    </row>
    <row r="22" spans="1:4" x14ac:dyDescent="0.3">
      <c r="A22" s="28" t="s">
        <v>232</v>
      </c>
      <c r="B22" s="9"/>
      <c r="C22" s="16">
        <f ca="1">SUMPRODUCT(GameListWardsKilled)</f>
        <v>0</v>
      </c>
      <c r="D22" s="16">
        <f ca="1">SUMPRODUCT(GameListWardsKilled*(GameListChampion=D17))</f>
        <v>0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getMatchHistory">
                <anchor moveWithCells="1" sizeWithCells="1">
                  <from>
                    <xdr:col>4</xdr:col>
                    <xdr:colOff>556260</xdr:colOff>
                    <xdr:row>1</xdr:row>
                    <xdr:rowOff>76200</xdr:rowOff>
                  </from>
                  <to>
                    <xdr:col>7</xdr:col>
                    <xdr:colOff>83820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W594"/>
  <sheetViews>
    <sheetView workbookViewId="0">
      <selection activeCell="W3" sqref="W3:W22"/>
    </sheetView>
  </sheetViews>
  <sheetFormatPr defaultRowHeight="14.4" x14ac:dyDescent="0.3"/>
  <cols>
    <col min="1" max="1" width="12.44140625" style="46" bestFit="1" customWidth="1"/>
    <col min="2" max="2" width="8.88671875" style="46"/>
    <col min="3" max="3" width="7.6640625" style="46" bestFit="1" customWidth="1"/>
    <col min="4" max="4" width="8.77734375" style="46" customWidth="1"/>
    <col min="5" max="7" width="8.88671875" style="46"/>
    <col min="8" max="8" width="9.44140625" style="46" bestFit="1" customWidth="1"/>
    <col min="9" max="9" width="9.44140625" style="46" customWidth="1"/>
    <col min="10" max="10" width="9.44140625" style="46" bestFit="1" customWidth="1"/>
    <col min="11" max="11" width="10.5546875" style="47" bestFit="1" customWidth="1"/>
    <col min="12" max="12" width="9.44140625" style="46" customWidth="1"/>
    <col min="13" max="14" width="8.88671875" style="46"/>
    <col min="15" max="15" width="10.5546875" style="48" bestFit="1" customWidth="1"/>
    <col min="16" max="16" width="8.88671875" style="46"/>
    <col min="17" max="17" width="9.44140625" style="46" bestFit="1" customWidth="1"/>
    <col min="18" max="22" width="8.88671875" style="46"/>
    <col min="23" max="23" width="11" style="49" bestFit="1" customWidth="1"/>
    <col min="24" max="16384" width="8.88671875" style="46"/>
  </cols>
  <sheetData>
    <row r="1" spans="1:23" s="37" customFormat="1" x14ac:dyDescent="0.3">
      <c r="K1" s="38"/>
      <c r="M1" s="37" t="s">
        <v>152</v>
      </c>
      <c r="O1" s="39"/>
      <c r="P1" s="37" t="s">
        <v>221</v>
      </c>
      <c r="S1" s="37" t="s">
        <v>157</v>
      </c>
      <c r="W1" s="40"/>
    </row>
    <row r="2" spans="1:23" s="37" customFormat="1" x14ac:dyDescent="0.3">
      <c r="A2" s="37" t="s">
        <v>128</v>
      </c>
      <c r="B2" s="37" t="s">
        <v>143</v>
      </c>
      <c r="C2" s="37" t="s">
        <v>146</v>
      </c>
      <c r="D2" s="37" t="s">
        <v>134</v>
      </c>
      <c r="E2" s="37" t="s">
        <v>135</v>
      </c>
      <c r="F2" s="37" t="s">
        <v>136</v>
      </c>
      <c r="G2" s="37" t="s">
        <v>137</v>
      </c>
      <c r="H2" s="37" t="s">
        <v>138</v>
      </c>
      <c r="I2" s="37" t="s">
        <v>142</v>
      </c>
      <c r="J2" s="37" t="s">
        <v>141</v>
      </c>
      <c r="K2" s="38" t="s">
        <v>218</v>
      </c>
      <c r="L2" s="37" t="s">
        <v>160</v>
      </c>
      <c r="M2" s="37" t="s">
        <v>154</v>
      </c>
      <c r="N2" s="37" t="s">
        <v>155</v>
      </c>
      <c r="O2" s="39" t="s">
        <v>159</v>
      </c>
      <c r="P2" s="37" t="s">
        <v>222</v>
      </c>
      <c r="Q2" s="37" t="s">
        <v>223</v>
      </c>
      <c r="S2" s="37" t="s">
        <v>133</v>
      </c>
      <c r="T2" s="37" t="s">
        <v>153</v>
      </c>
      <c r="U2" s="37" t="s">
        <v>158</v>
      </c>
      <c r="W2" s="40" t="s">
        <v>217</v>
      </c>
    </row>
    <row r="3" spans="1:23" s="41" customFormat="1" x14ac:dyDescent="0.3">
      <c r="K3" s="42"/>
      <c r="O3" s="43"/>
      <c r="S3" s="41">
        <f t="shared" ref="S3" si="0">IFERROR(ROUND((F3+H3)/IF(G3=0,1,G3),2),"")</f>
        <v>0</v>
      </c>
      <c r="T3" s="41" t="str">
        <f t="shared" ref="T3:T45" si="1">IFERROR(ROUND($J3/($M3+($N3/60)),2),"")</f>
        <v/>
      </c>
      <c r="U3" s="41" t="str">
        <f t="shared" ref="U3:U45" si="2">IFERROR(ROUND($I3/($M3+($N3/60)),0),"")</f>
        <v/>
      </c>
      <c r="W3" s="44"/>
    </row>
    <row r="4" spans="1:23" s="41" customFormat="1" x14ac:dyDescent="0.3">
      <c r="K4" s="42"/>
      <c r="O4" s="43"/>
      <c r="S4" s="41">
        <f t="shared" ref="S4" si="3">IFERROR(ROUND((F4+H4)/IF(G4=0,1,G4),2),"")</f>
        <v>0</v>
      </c>
      <c r="T4" s="41" t="str">
        <f t="shared" si="1"/>
        <v/>
      </c>
      <c r="U4" s="41" t="str">
        <f t="shared" si="2"/>
        <v/>
      </c>
      <c r="W4" s="44"/>
    </row>
    <row r="5" spans="1:23" s="41" customFormat="1" x14ac:dyDescent="0.3">
      <c r="K5" s="42"/>
      <c r="O5" s="43"/>
      <c r="S5" s="41">
        <f t="shared" ref="S5" si="4">IFERROR(ROUND((F5+H5)/IF(G5=0,1,G5),2),"")</f>
        <v>0</v>
      </c>
      <c r="T5" s="41" t="str">
        <f t="shared" si="1"/>
        <v/>
      </c>
      <c r="U5" s="41" t="str">
        <f t="shared" si="2"/>
        <v/>
      </c>
      <c r="W5" s="44"/>
    </row>
    <row r="6" spans="1:23" s="41" customFormat="1" x14ac:dyDescent="0.3">
      <c r="K6" s="42"/>
      <c r="O6" s="43"/>
      <c r="S6" s="41">
        <f t="shared" ref="S6" si="5">IFERROR(ROUND((F6+H6)/IF(G6=0,1,G6),2),"")</f>
        <v>0</v>
      </c>
      <c r="T6" s="41" t="str">
        <f t="shared" si="1"/>
        <v/>
      </c>
      <c r="U6" s="41" t="str">
        <f t="shared" si="2"/>
        <v/>
      </c>
      <c r="W6" s="44"/>
    </row>
    <row r="7" spans="1:23" s="41" customFormat="1" x14ac:dyDescent="0.3">
      <c r="K7" s="42"/>
      <c r="O7" s="43"/>
      <c r="S7" s="41">
        <f t="shared" ref="S7" si="6">IFERROR(ROUND((F7+H7)/IF(G7=0,1,G7),2),"")</f>
        <v>0</v>
      </c>
      <c r="T7" s="41" t="str">
        <f t="shared" si="1"/>
        <v/>
      </c>
      <c r="U7" s="41" t="str">
        <f t="shared" si="2"/>
        <v/>
      </c>
      <c r="W7" s="44"/>
    </row>
    <row r="8" spans="1:23" s="41" customFormat="1" x14ac:dyDescent="0.3">
      <c r="K8" s="42"/>
      <c r="O8" s="43"/>
      <c r="S8" s="41">
        <f t="shared" ref="S8" si="7">IFERROR(ROUND((F8+H8)/IF(G8=0,1,G8),2),"")</f>
        <v>0</v>
      </c>
      <c r="T8" s="41" t="str">
        <f t="shared" si="1"/>
        <v/>
      </c>
      <c r="U8" s="41" t="str">
        <f t="shared" si="2"/>
        <v/>
      </c>
      <c r="W8" s="44"/>
    </row>
    <row r="9" spans="1:23" s="41" customFormat="1" x14ac:dyDescent="0.3">
      <c r="K9" s="42"/>
      <c r="O9" s="43"/>
      <c r="S9" s="41">
        <f t="shared" ref="S9" si="8">IFERROR(ROUND((F9+H9)/IF(G9=0,1,G9),2),"")</f>
        <v>0</v>
      </c>
      <c r="T9" s="41" t="str">
        <f t="shared" si="1"/>
        <v/>
      </c>
      <c r="U9" s="41" t="str">
        <f t="shared" si="2"/>
        <v/>
      </c>
      <c r="W9" s="44"/>
    </row>
    <row r="10" spans="1:23" s="41" customFormat="1" x14ac:dyDescent="0.3">
      <c r="K10" s="42"/>
      <c r="O10" s="43"/>
      <c r="S10" s="41">
        <f t="shared" ref="S10" si="9">IFERROR(ROUND((F10+H10)/IF(G10=0,1,G10),2),"")</f>
        <v>0</v>
      </c>
      <c r="T10" s="41" t="str">
        <f t="shared" si="1"/>
        <v/>
      </c>
      <c r="U10" s="41" t="str">
        <f t="shared" si="2"/>
        <v/>
      </c>
      <c r="W10" s="44"/>
    </row>
    <row r="11" spans="1:23" s="41" customFormat="1" x14ac:dyDescent="0.3">
      <c r="K11" s="42"/>
      <c r="O11" s="43"/>
      <c r="S11" s="41">
        <f t="shared" ref="S11" si="10">IFERROR(ROUND((F11+H11)/IF(G11=0,1,G11),2),"")</f>
        <v>0</v>
      </c>
      <c r="T11" s="41" t="str">
        <f t="shared" si="1"/>
        <v/>
      </c>
      <c r="U11" s="41" t="str">
        <f t="shared" si="2"/>
        <v/>
      </c>
      <c r="W11" s="44"/>
    </row>
    <row r="12" spans="1:23" s="41" customFormat="1" x14ac:dyDescent="0.3">
      <c r="K12" s="42"/>
      <c r="O12" s="43"/>
      <c r="S12" s="41">
        <f t="shared" ref="S12" si="11">IFERROR(ROUND((F12+H12)/IF(G12=0,1,G12),2),"")</f>
        <v>0</v>
      </c>
      <c r="T12" s="41" t="str">
        <f t="shared" si="1"/>
        <v/>
      </c>
      <c r="U12" s="41" t="str">
        <f t="shared" si="2"/>
        <v/>
      </c>
      <c r="W12" s="44"/>
    </row>
    <row r="13" spans="1:23" s="41" customFormat="1" x14ac:dyDescent="0.3">
      <c r="K13" s="42"/>
      <c r="O13" s="43"/>
      <c r="S13" s="41">
        <f t="shared" ref="S13:S43" si="12">IFERROR(ROUND((F13+H13)/IF(G13=0,1,G13),2),"")</f>
        <v>0</v>
      </c>
      <c r="T13" s="41" t="str">
        <f t="shared" si="1"/>
        <v/>
      </c>
      <c r="U13" s="41" t="str">
        <f t="shared" si="2"/>
        <v/>
      </c>
      <c r="W13" s="44"/>
    </row>
    <row r="14" spans="1:23" s="41" customFormat="1" x14ac:dyDescent="0.3">
      <c r="K14" s="42"/>
      <c r="L14" s="45"/>
      <c r="O14" s="43"/>
      <c r="S14" s="41">
        <f t="shared" si="12"/>
        <v>0</v>
      </c>
      <c r="T14" s="41" t="str">
        <f t="shared" si="1"/>
        <v/>
      </c>
      <c r="U14" s="41" t="str">
        <f t="shared" si="2"/>
        <v/>
      </c>
      <c r="W14" s="44"/>
    </row>
    <row r="15" spans="1:23" s="41" customFormat="1" x14ac:dyDescent="0.3">
      <c r="K15" s="42"/>
      <c r="L15" s="45"/>
      <c r="O15" s="43"/>
      <c r="S15" s="41">
        <f t="shared" si="12"/>
        <v>0</v>
      </c>
      <c r="T15" s="41" t="str">
        <f t="shared" si="1"/>
        <v/>
      </c>
      <c r="U15" s="41" t="str">
        <f t="shared" si="2"/>
        <v/>
      </c>
      <c r="W15" s="44"/>
    </row>
    <row r="16" spans="1:23" s="41" customFormat="1" x14ac:dyDescent="0.3">
      <c r="K16" s="42"/>
      <c r="L16" s="45"/>
      <c r="O16" s="43"/>
      <c r="S16" s="41">
        <f t="shared" si="12"/>
        <v>0</v>
      </c>
      <c r="T16" s="41" t="str">
        <f t="shared" si="1"/>
        <v/>
      </c>
      <c r="U16" s="41" t="str">
        <f t="shared" si="2"/>
        <v/>
      </c>
      <c r="W16" s="44"/>
    </row>
    <row r="17" spans="11:23" s="41" customFormat="1" x14ac:dyDescent="0.3">
      <c r="K17" s="42"/>
      <c r="L17" s="45"/>
      <c r="O17" s="43"/>
      <c r="S17" s="41">
        <f t="shared" si="12"/>
        <v>0</v>
      </c>
      <c r="T17" s="41" t="str">
        <f t="shared" si="1"/>
        <v/>
      </c>
      <c r="U17" s="41" t="str">
        <f t="shared" si="2"/>
        <v/>
      </c>
      <c r="W17" s="44"/>
    </row>
    <row r="18" spans="11:23" s="41" customFormat="1" x14ac:dyDescent="0.3">
      <c r="K18" s="42"/>
      <c r="L18" s="45"/>
      <c r="O18" s="43"/>
      <c r="S18" s="41">
        <f t="shared" si="12"/>
        <v>0</v>
      </c>
      <c r="T18" s="41" t="str">
        <f t="shared" si="1"/>
        <v/>
      </c>
      <c r="U18" s="41" t="str">
        <f t="shared" si="2"/>
        <v/>
      </c>
      <c r="W18" s="44"/>
    </row>
    <row r="19" spans="11:23" s="41" customFormat="1" x14ac:dyDescent="0.3">
      <c r="K19" s="42"/>
      <c r="L19" s="45"/>
      <c r="O19" s="43"/>
      <c r="S19" s="41">
        <f t="shared" si="12"/>
        <v>0</v>
      </c>
      <c r="T19" s="41" t="str">
        <f t="shared" si="1"/>
        <v/>
      </c>
      <c r="U19" s="41" t="str">
        <f t="shared" si="2"/>
        <v/>
      </c>
      <c r="W19" s="44"/>
    </row>
    <row r="20" spans="11:23" s="41" customFormat="1" x14ac:dyDescent="0.3">
      <c r="K20" s="42"/>
      <c r="L20" s="45"/>
      <c r="O20" s="43"/>
      <c r="S20" s="41">
        <f t="shared" si="12"/>
        <v>0</v>
      </c>
      <c r="T20" s="41" t="str">
        <f t="shared" si="1"/>
        <v/>
      </c>
      <c r="U20" s="41" t="str">
        <f t="shared" si="2"/>
        <v/>
      </c>
      <c r="W20" s="44"/>
    </row>
    <row r="21" spans="11:23" s="41" customFormat="1" x14ac:dyDescent="0.3">
      <c r="K21" s="42"/>
      <c r="L21" s="45"/>
      <c r="O21" s="43"/>
      <c r="S21" s="41">
        <f t="shared" si="12"/>
        <v>0</v>
      </c>
      <c r="T21" s="41" t="str">
        <f t="shared" si="1"/>
        <v/>
      </c>
      <c r="U21" s="41" t="str">
        <f t="shared" si="2"/>
        <v/>
      </c>
      <c r="W21" s="44"/>
    </row>
    <row r="22" spans="11:23" s="41" customFormat="1" x14ac:dyDescent="0.3">
      <c r="K22" s="42"/>
      <c r="L22" s="45"/>
      <c r="O22" s="43"/>
      <c r="S22" s="41">
        <f t="shared" si="12"/>
        <v>0</v>
      </c>
      <c r="T22" s="41" t="str">
        <f t="shared" si="1"/>
        <v/>
      </c>
      <c r="U22" s="41" t="str">
        <f t="shared" si="2"/>
        <v/>
      </c>
      <c r="W22" s="44"/>
    </row>
    <row r="23" spans="11:23" s="41" customFormat="1" x14ac:dyDescent="0.3">
      <c r="K23" s="42"/>
      <c r="L23" s="45"/>
      <c r="O23" s="43"/>
      <c r="S23" s="41">
        <f t="shared" si="12"/>
        <v>0</v>
      </c>
      <c r="T23" s="41" t="str">
        <f t="shared" si="1"/>
        <v/>
      </c>
      <c r="U23" s="41" t="str">
        <f t="shared" si="2"/>
        <v/>
      </c>
      <c r="W23" s="44"/>
    </row>
    <row r="24" spans="11:23" s="41" customFormat="1" x14ac:dyDescent="0.3">
      <c r="K24" s="42"/>
      <c r="L24" s="45"/>
      <c r="O24" s="43"/>
      <c r="S24" s="41">
        <f t="shared" si="12"/>
        <v>0</v>
      </c>
      <c r="T24" s="41" t="str">
        <f t="shared" si="1"/>
        <v/>
      </c>
      <c r="U24" s="41" t="str">
        <f t="shared" si="2"/>
        <v/>
      </c>
      <c r="W24" s="44"/>
    </row>
    <row r="25" spans="11:23" s="41" customFormat="1" x14ac:dyDescent="0.3">
      <c r="K25" s="42"/>
      <c r="L25" s="45"/>
      <c r="O25" s="43"/>
      <c r="S25" s="41">
        <f t="shared" si="12"/>
        <v>0</v>
      </c>
      <c r="T25" s="41" t="str">
        <f t="shared" si="1"/>
        <v/>
      </c>
      <c r="U25" s="41" t="str">
        <f t="shared" si="2"/>
        <v/>
      </c>
      <c r="W25" s="44"/>
    </row>
    <row r="26" spans="11:23" s="41" customFormat="1" x14ac:dyDescent="0.3">
      <c r="K26" s="42"/>
      <c r="L26" s="45"/>
      <c r="O26" s="43"/>
      <c r="S26" s="41">
        <f t="shared" si="12"/>
        <v>0</v>
      </c>
      <c r="T26" s="41" t="str">
        <f t="shared" si="1"/>
        <v/>
      </c>
      <c r="U26" s="41" t="str">
        <f t="shared" si="2"/>
        <v/>
      </c>
      <c r="W26" s="44"/>
    </row>
    <row r="27" spans="11:23" s="41" customFormat="1" x14ac:dyDescent="0.3">
      <c r="K27" s="42"/>
      <c r="L27" s="45"/>
      <c r="O27" s="43"/>
      <c r="S27" s="41">
        <f t="shared" si="12"/>
        <v>0</v>
      </c>
      <c r="T27" s="41" t="str">
        <f t="shared" si="1"/>
        <v/>
      </c>
      <c r="U27" s="41" t="str">
        <f t="shared" si="2"/>
        <v/>
      </c>
    </row>
    <row r="28" spans="11:23" s="41" customFormat="1" x14ac:dyDescent="0.3">
      <c r="K28" s="42"/>
      <c r="L28" s="45"/>
      <c r="O28" s="43"/>
      <c r="S28" s="41">
        <f t="shared" si="12"/>
        <v>0</v>
      </c>
      <c r="T28" s="41" t="str">
        <f t="shared" si="1"/>
        <v/>
      </c>
      <c r="U28" s="41" t="str">
        <f t="shared" si="2"/>
        <v/>
      </c>
    </row>
    <row r="29" spans="11:23" s="41" customFormat="1" x14ac:dyDescent="0.3">
      <c r="K29" s="42"/>
      <c r="L29" s="45"/>
      <c r="O29" s="43"/>
      <c r="S29" s="41">
        <f t="shared" si="12"/>
        <v>0</v>
      </c>
      <c r="T29" s="41" t="str">
        <f t="shared" si="1"/>
        <v/>
      </c>
      <c r="U29" s="41" t="str">
        <f t="shared" si="2"/>
        <v/>
      </c>
    </row>
    <row r="30" spans="11:23" s="41" customFormat="1" x14ac:dyDescent="0.3">
      <c r="K30" s="42"/>
      <c r="L30" s="45"/>
      <c r="O30" s="43"/>
      <c r="S30" s="41">
        <f t="shared" si="12"/>
        <v>0</v>
      </c>
      <c r="T30" s="41" t="str">
        <f t="shared" si="1"/>
        <v/>
      </c>
      <c r="U30" s="41" t="str">
        <f t="shared" si="2"/>
        <v/>
      </c>
    </row>
    <row r="31" spans="11:23" s="41" customFormat="1" x14ac:dyDescent="0.3">
      <c r="K31" s="42"/>
      <c r="L31" s="45"/>
      <c r="O31" s="43"/>
      <c r="S31" s="41">
        <f t="shared" si="12"/>
        <v>0</v>
      </c>
      <c r="T31" s="41" t="str">
        <f t="shared" si="1"/>
        <v/>
      </c>
      <c r="U31" s="41" t="str">
        <f t="shared" si="2"/>
        <v/>
      </c>
    </row>
    <row r="32" spans="11:23" s="41" customFormat="1" x14ac:dyDescent="0.3">
      <c r="K32" s="42"/>
      <c r="L32" s="45"/>
      <c r="O32" s="43"/>
      <c r="S32" s="41">
        <f t="shared" si="12"/>
        <v>0</v>
      </c>
      <c r="T32" s="41" t="str">
        <f t="shared" si="1"/>
        <v/>
      </c>
      <c r="U32" s="41" t="str">
        <f t="shared" si="2"/>
        <v/>
      </c>
    </row>
    <row r="33" spans="11:23" s="41" customFormat="1" x14ac:dyDescent="0.3">
      <c r="K33" s="42"/>
      <c r="L33" s="45"/>
      <c r="O33" s="43"/>
      <c r="S33" s="41">
        <f t="shared" si="12"/>
        <v>0</v>
      </c>
      <c r="T33" s="41" t="str">
        <f t="shared" si="1"/>
        <v/>
      </c>
      <c r="U33" s="41" t="str">
        <f t="shared" si="2"/>
        <v/>
      </c>
    </row>
    <row r="34" spans="11:23" s="41" customFormat="1" x14ac:dyDescent="0.3">
      <c r="K34" s="42"/>
      <c r="L34" s="45"/>
      <c r="O34" s="43"/>
      <c r="S34" s="41">
        <f t="shared" si="12"/>
        <v>0</v>
      </c>
      <c r="T34" s="41" t="str">
        <f t="shared" si="1"/>
        <v/>
      </c>
      <c r="U34" s="41" t="str">
        <f t="shared" si="2"/>
        <v/>
      </c>
    </row>
    <row r="35" spans="11:23" s="41" customFormat="1" x14ac:dyDescent="0.3">
      <c r="K35" s="42"/>
      <c r="L35" s="45"/>
      <c r="O35" s="43"/>
      <c r="S35" s="41">
        <f t="shared" si="12"/>
        <v>0</v>
      </c>
      <c r="T35" s="41" t="str">
        <f t="shared" si="1"/>
        <v/>
      </c>
      <c r="U35" s="41" t="str">
        <f t="shared" si="2"/>
        <v/>
      </c>
    </row>
    <row r="36" spans="11:23" s="41" customFormat="1" x14ac:dyDescent="0.3">
      <c r="K36" s="42"/>
      <c r="L36" s="45"/>
      <c r="M36" s="42"/>
      <c r="N36" s="42"/>
      <c r="O36" s="43"/>
      <c r="S36" s="41">
        <f t="shared" si="12"/>
        <v>0</v>
      </c>
      <c r="T36" s="41" t="str">
        <f t="shared" si="1"/>
        <v/>
      </c>
      <c r="U36" s="41" t="str">
        <f t="shared" si="2"/>
        <v/>
      </c>
    </row>
    <row r="37" spans="11:23" s="41" customFormat="1" x14ac:dyDescent="0.3">
      <c r="K37" s="42"/>
      <c r="L37" s="45"/>
      <c r="O37" s="43"/>
      <c r="S37" s="41">
        <f t="shared" si="12"/>
        <v>0</v>
      </c>
      <c r="T37" s="41" t="str">
        <f t="shared" si="1"/>
        <v/>
      </c>
      <c r="U37" s="41" t="str">
        <f t="shared" si="2"/>
        <v/>
      </c>
      <c r="W37" s="44"/>
    </row>
    <row r="38" spans="11:23" s="41" customFormat="1" x14ac:dyDescent="0.3">
      <c r="K38" s="42"/>
      <c r="L38" s="45"/>
      <c r="O38" s="43"/>
      <c r="S38" s="41">
        <f t="shared" si="12"/>
        <v>0</v>
      </c>
      <c r="T38" s="41" t="str">
        <f t="shared" si="1"/>
        <v/>
      </c>
      <c r="U38" s="41" t="str">
        <f t="shared" si="2"/>
        <v/>
      </c>
      <c r="W38" s="44"/>
    </row>
    <row r="39" spans="11:23" s="41" customFormat="1" x14ac:dyDescent="0.3">
      <c r="K39" s="42"/>
      <c r="L39" s="45"/>
      <c r="O39" s="43"/>
      <c r="S39" s="41">
        <f t="shared" si="12"/>
        <v>0</v>
      </c>
      <c r="T39" s="41" t="str">
        <f t="shared" si="1"/>
        <v/>
      </c>
      <c r="U39" s="41" t="str">
        <f t="shared" si="2"/>
        <v/>
      </c>
      <c r="W39" s="44"/>
    </row>
    <row r="40" spans="11:23" s="41" customFormat="1" x14ac:dyDescent="0.3">
      <c r="K40" s="42"/>
      <c r="L40" s="45"/>
      <c r="O40" s="43"/>
      <c r="S40" s="41">
        <f t="shared" si="12"/>
        <v>0</v>
      </c>
      <c r="T40" s="41" t="str">
        <f t="shared" si="1"/>
        <v/>
      </c>
      <c r="U40" s="41" t="str">
        <f t="shared" si="2"/>
        <v/>
      </c>
      <c r="W40" s="44"/>
    </row>
    <row r="41" spans="11:23" s="41" customFormat="1" x14ac:dyDescent="0.3">
      <c r="K41" s="42"/>
      <c r="L41" s="45"/>
      <c r="O41" s="43"/>
      <c r="S41" s="41">
        <f t="shared" si="12"/>
        <v>0</v>
      </c>
      <c r="T41" s="41" t="str">
        <f t="shared" si="1"/>
        <v/>
      </c>
      <c r="U41" s="41" t="str">
        <f t="shared" si="2"/>
        <v/>
      </c>
      <c r="W41" s="44"/>
    </row>
    <row r="42" spans="11:23" s="41" customFormat="1" x14ac:dyDescent="0.3">
      <c r="K42" s="42"/>
      <c r="L42" s="45"/>
      <c r="O42" s="43"/>
      <c r="S42" s="41">
        <f t="shared" si="12"/>
        <v>0</v>
      </c>
      <c r="T42" s="41" t="str">
        <f t="shared" si="1"/>
        <v/>
      </c>
      <c r="U42" s="41" t="str">
        <f t="shared" si="2"/>
        <v/>
      </c>
      <c r="W42" s="44"/>
    </row>
    <row r="43" spans="11:23" s="41" customFormat="1" x14ac:dyDescent="0.3">
      <c r="K43" s="42"/>
      <c r="L43" s="45"/>
      <c r="O43" s="43"/>
      <c r="S43" s="41">
        <f t="shared" si="12"/>
        <v>0</v>
      </c>
      <c r="T43" s="41" t="str">
        <f t="shared" si="1"/>
        <v/>
      </c>
      <c r="U43" s="41" t="str">
        <f t="shared" si="2"/>
        <v/>
      </c>
      <c r="W43" s="44"/>
    </row>
    <row r="44" spans="11:23" s="41" customFormat="1" x14ac:dyDescent="0.3">
      <c r="K44" s="42"/>
      <c r="L44" s="45"/>
      <c r="O44" s="43"/>
      <c r="S44" s="41">
        <f t="shared" ref="S44:S75" si="13">IFERROR(ROUND((F44+H44)/IF(G44=0,1,G44),2),"")</f>
        <v>0</v>
      </c>
      <c r="T44" s="41" t="str">
        <f t="shared" si="1"/>
        <v/>
      </c>
      <c r="U44" s="41" t="str">
        <f t="shared" si="2"/>
        <v/>
      </c>
      <c r="W44" s="44"/>
    </row>
    <row r="45" spans="11:23" s="41" customFormat="1" x14ac:dyDescent="0.3">
      <c r="K45" s="42"/>
      <c r="L45" s="45"/>
      <c r="O45" s="43"/>
      <c r="S45" s="41">
        <f t="shared" si="13"/>
        <v>0</v>
      </c>
      <c r="T45" s="41" t="str">
        <f t="shared" si="1"/>
        <v/>
      </c>
      <c r="U45" s="41" t="str">
        <f t="shared" si="2"/>
        <v/>
      </c>
      <c r="W45" s="44"/>
    </row>
    <row r="46" spans="11:23" s="41" customFormat="1" x14ac:dyDescent="0.3">
      <c r="K46" s="42"/>
      <c r="L46" s="45"/>
      <c r="O46" s="43"/>
      <c r="S46" s="41">
        <f t="shared" si="13"/>
        <v>0</v>
      </c>
      <c r="T46" s="41" t="str">
        <f t="shared" ref="T46:T77" si="14">IFERROR(ROUND($J46/($M46+($N46/60)),2),"")</f>
        <v/>
      </c>
      <c r="U46" s="41" t="str">
        <f t="shared" ref="U46:U77" si="15">IFERROR(ROUND($I46/($M46+($N46/60)),0),"")</f>
        <v/>
      </c>
      <c r="W46" s="44"/>
    </row>
    <row r="47" spans="11:23" s="41" customFormat="1" x14ac:dyDescent="0.3">
      <c r="K47" s="42"/>
      <c r="L47" s="45"/>
      <c r="O47" s="43"/>
      <c r="S47" s="41">
        <f t="shared" si="13"/>
        <v>0</v>
      </c>
      <c r="T47" s="41" t="str">
        <f t="shared" si="14"/>
        <v/>
      </c>
      <c r="U47" s="41" t="str">
        <f t="shared" si="15"/>
        <v/>
      </c>
      <c r="W47" s="44"/>
    </row>
    <row r="48" spans="11:23" s="41" customFormat="1" x14ac:dyDescent="0.3">
      <c r="K48" s="42"/>
      <c r="L48" s="45"/>
      <c r="O48" s="43"/>
      <c r="S48" s="41">
        <f t="shared" si="13"/>
        <v>0</v>
      </c>
      <c r="T48" s="41" t="str">
        <f t="shared" si="14"/>
        <v/>
      </c>
      <c r="U48" s="41" t="str">
        <f t="shared" si="15"/>
        <v/>
      </c>
      <c r="W48" s="44"/>
    </row>
    <row r="49" spans="11:23" s="41" customFormat="1" x14ac:dyDescent="0.3">
      <c r="K49" s="42"/>
      <c r="L49" s="45"/>
      <c r="O49" s="43"/>
      <c r="S49" s="41">
        <f t="shared" si="13"/>
        <v>0</v>
      </c>
      <c r="T49" s="41" t="str">
        <f t="shared" si="14"/>
        <v/>
      </c>
      <c r="U49" s="41" t="str">
        <f t="shared" si="15"/>
        <v/>
      </c>
      <c r="W49" s="44"/>
    </row>
    <row r="50" spans="11:23" s="41" customFormat="1" x14ac:dyDescent="0.3">
      <c r="K50" s="42"/>
      <c r="L50" s="45"/>
      <c r="O50" s="43"/>
      <c r="S50" s="41">
        <f t="shared" si="13"/>
        <v>0</v>
      </c>
      <c r="T50" s="41" t="str">
        <f t="shared" si="14"/>
        <v/>
      </c>
      <c r="U50" s="41" t="str">
        <f t="shared" si="15"/>
        <v/>
      </c>
      <c r="W50" s="44"/>
    </row>
    <row r="51" spans="11:23" s="41" customFormat="1" x14ac:dyDescent="0.3">
      <c r="K51" s="42"/>
      <c r="L51" s="45"/>
      <c r="O51" s="43"/>
      <c r="S51" s="41">
        <f t="shared" si="13"/>
        <v>0</v>
      </c>
      <c r="T51" s="41" t="str">
        <f t="shared" si="14"/>
        <v/>
      </c>
      <c r="U51" s="41" t="str">
        <f t="shared" si="15"/>
        <v/>
      </c>
      <c r="W51" s="44"/>
    </row>
    <row r="52" spans="11:23" s="41" customFormat="1" x14ac:dyDescent="0.3">
      <c r="K52" s="42"/>
      <c r="L52" s="45"/>
      <c r="O52" s="43"/>
      <c r="S52" s="41">
        <f t="shared" si="13"/>
        <v>0</v>
      </c>
      <c r="T52" s="41" t="str">
        <f t="shared" si="14"/>
        <v/>
      </c>
      <c r="U52" s="41" t="str">
        <f t="shared" si="15"/>
        <v/>
      </c>
      <c r="W52" s="44"/>
    </row>
    <row r="53" spans="11:23" s="41" customFormat="1" x14ac:dyDescent="0.3">
      <c r="K53" s="42"/>
      <c r="L53" s="45"/>
      <c r="O53" s="43"/>
      <c r="S53" s="41">
        <f t="shared" si="13"/>
        <v>0</v>
      </c>
      <c r="T53" s="41" t="str">
        <f t="shared" si="14"/>
        <v/>
      </c>
      <c r="U53" s="41" t="str">
        <f t="shared" si="15"/>
        <v/>
      </c>
      <c r="W53" s="44"/>
    </row>
    <row r="54" spans="11:23" s="41" customFormat="1" x14ac:dyDescent="0.3">
      <c r="K54" s="42"/>
      <c r="L54" s="45"/>
      <c r="O54" s="43"/>
      <c r="S54" s="41">
        <f t="shared" si="13"/>
        <v>0</v>
      </c>
      <c r="T54" s="41" t="str">
        <f t="shared" si="14"/>
        <v/>
      </c>
      <c r="U54" s="41" t="str">
        <f t="shared" si="15"/>
        <v/>
      </c>
      <c r="W54" s="44"/>
    </row>
    <row r="55" spans="11:23" s="41" customFormat="1" x14ac:dyDescent="0.3">
      <c r="K55" s="42"/>
      <c r="L55" s="45"/>
      <c r="O55" s="43"/>
      <c r="S55" s="41">
        <f t="shared" si="13"/>
        <v>0</v>
      </c>
      <c r="T55" s="41" t="str">
        <f t="shared" si="14"/>
        <v/>
      </c>
      <c r="U55" s="41" t="str">
        <f t="shared" si="15"/>
        <v/>
      </c>
      <c r="W55" s="44"/>
    </row>
    <row r="56" spans="11:23" s="41" customFormat="1" x14ac:dyDescent="0.3">
      <c r="K56" s="42"/>
      <c r="L56" s="45"/>
      <c r="O56" s="43"/>
      <c r="S56" s="41">
        <f t="shared" si="13"/>
        <v>0</v>
      </c>
      <c r="T56" s="41" t="str">
        <f t="shared" si="14"/>
        <v/>
      </c>
      <c r="U56" s="41" t="str">
        <f t="shared" si="15"/>
        <v/>
      </c>
      <c r="W56" s="44"/>
    </row>
    <row r="57" spans="11:23" s="41" customFormat="1" x14ac:dyDescent="0.3">
      <c r="K57" s="42"/>
      <c r="L57" s="45"/>
      <c r="O57" s="43"/>
      <c r="S57" s="41">
        <f t="shared" si="13"/>
        <v>0</v>
      </c>
      <c r="T57" s="41" t="str">
        <f t="shared" si="14"/>
        <v/>
      </c>
      <c r="U57" s="41" t="str">
        <f t="shared" si="15"/>
        <v/>
      </c>
      <c r="W57" s="44"/>
    </row>
    <row r="58" spans="11:23" s="41" customFormat="1" x14ac:dyDescent="0.3">
      <c r="K58" s="42"/>
      <c r="L58" s="45"/>
      <c r="O58" s="43"/>
      <c r="S58" s="41">
        <f t="shared" si="13"/>
        <v>0</v>
      </c>
      <c r="T58" s="41" t="str">
        <f t="shared" si="14"/>
        <v/>
      </c>
      <c r="U58" s="41" t="str">
        <f t="shared" si="15"/>
        <v/>
      </c>
      <c r="W58" s="44"/>
    </row>
    <row r="59" spans="11:23" s="41" customFormat="1" x14ac:dyDescent="0.3">
      <c r="K59" s="42"/>
      <c r="L59" s="45"/>
      <c r="O59" s="43"/>
      <c r="S59" s="41">
        <f t="shared" si="13"/>
        <v>0</v>
      </c>
      <c r="T59" s="41" t="str">
        <f t="shared" si="14"/>
        <v/>
      </c>
      <c r="U59" s="41" t="str">
        <f t="shared" si="15"/>
        <v/>
      </c>
      <c r="W59" s="44"/>
    </row>
    <row r="60" spans="11:23" s="41" customFormat="1" x14ac:dyDescent="0.3">
      <c r="K60" s="42"/>
      <c r="L60" s="45"/>
      <c r="O60" s="43"/>
      <c r="S60" s="41">
        <f t="shared" si="13"/>
        <v>0</v>
      </c>
      <c r="T60" s="41" t="str">
        <f t="shared" si="14"/>
        <v/>
      </c>
      <c r="U60" s="41" t="str">
        <f t="shared" si="15"/>
        <v/>
      </c>
      <c r="W60" s="44"/>
    </row>
    <row r="61" spans="11:23" s="41" customFormat="1" x14ac:dyDescent="0.3">
      <c r="K61" s="42"/>
      <c r="L61" s="45"/>
      <c r="O61" s="43"/>
      <c r="S61" s="41">
        <f t="shared" si="13"/>
        <v>0</v>
      </c>
      <c r="T61" s="41" t="str">
        <f t="shared" si="14"/>
        <v/>
      </c>
      <c r="U61" s="41" t="str">
        <f t="shared" si="15"/>
        <v/>
      </c>
      <c r="W61" s="44"/>
    </row>
    <row r="62" spans="11:23" s="41" customFormat="1" x14ac:dyDescent="0.3">
      <c r="K62" s="42"/>
      <c r="L62" s="45"/>
      <c r="O62" s="43"/>
      <c r="S62" s="41">
        <f t="shared" si="13"/>
        <v>0</v>
      </c>
      <c r="T62" s="41" t="str">
        <f t="shared" si="14"/>
        <v/>
      </c>
      <c r="U62" s="41" t="str">
        <f t="shared" si="15"/>
        <v/>
      </c>
      <c r="W62" s="44"/>
    </row>
    <row r="63" spans="11:23" s="41" customFormat="1" x14ac:dyDescent="0.3">
      <c r="K63" s="42"/>
      <c r="L63" s="45"/>
      <c r="O63" s="43"/>
      <c r="S63" s="41">
        <f t="shared" si="13"/>
        <v>0</v>
      </c>
      <c r="T63" s="41" t="str">
        <f t="shared" si="14"/>
        <v/>
      </c>
      <c r="U63" s="41" t="str">
        <f t="shared" si="15"/>
        <v/>
      </c>
      <c r="W63" s="44"/>
    </row>
    <row r="64" spans="11:23" s="41" customFormat="1" x14ac:dyDescent="0.3">
      <c r="K64" s="42"/>
      <c r="L64" s="45"/>
      <c r="O64" s="43"/>
      <c r="S64" s="41">
        <f t="shared" si="13"/>
        <v>0</v>
      </c>
      <c r="T64" s="41" t="str">
        <f t="shared" si="14"/>
        <v/>
      </c>
      <c r="U64" s="41" t="str">
        <f t="shared" si="15"/>
        <v/>
      </c>
      <c r="W64" s="44"/>
    </row>
    <row r="65" spans="11:23" s="41" customFormat="1" x14ac:dyDescent="0.3">
      <c r="K65" s="42"/>
      <c r="L65" s="45"/>
      <c r="O65" s="43"/>
      <c r="S65" s="41">
        <f t="shared" si="13"/>
        <v>0</v>
      </c>
      <c r="T65" s="41" t="str">
        <f t="shared" si="14"/>
        <v/>
      </c>
      <c r="U65" s="41" t="str">
        <f t="shared" si="15"/>
        <v/>
      </c>
      <c r="W65" s="44"/>
    </row>
    <row r="66" spans="11:23" s="41" customFormat="1" x14ac:dyDescent="0.3">
      <c r="K66" s="42"/>
      <c r="L66" s="45"/>
      <c r="O66" s="43"/>
      <c r="S66" s="41">
        <f t="shared" si="13"/>
        <v>0</v>
      </c>
      <c r="T66" s="41" t="str">
        <f t="shared" si="14"/>
        <v/>
      </c>
      <c r="U66" s="41" t="str">
        <f t="shared" si="15"/>
        <v/>
      </c>
      <c r="W66" s="44"/>
    </row>
    <row r="67" spans="11:23" s="41" customFormat="1" x14ac:dyDescent="0.3">
      <c r="K67" s="42"/>
      <c r="L67" s="45"/>
      <c r="O67" s="43"/>
      <c r="S67" s="41">
        <f t="shared" si="13"/>
        <v>0</v>
      </c>
      <c r="T67" s="41" t="str">
        <f t="shared" si="14"/>
        <v/>
      </c>
      <c r="U67" s="41" t="str">
        <f t="shared" si="15"/>
        <v/>
      </c>
      <c r="W67" s="44"/>
    </row>
    <row r="68" spans="11:23" s="41" customFormat="1" x14ac:dyDescent="0.3">
      <c r="K68" s="42"/>
      <c r="L68" s="45"/>
      <c r="O68" s="43"/>
      <c r="S68" s="41">
        <f t="shared" si="13"/>
        <v>0</v>
      </c>
      <c r="T68" s="41" t="str">
        <f t="shared" si="14"/>
        <v/>
      </c>
      <c r="U68" s="41" t="str">
        <f t="shared" si="15"/>
        <v/>
      </c>
      <c r="W68" s="44"/>
    </row>
    <row r="69" spans="11:23" s="41" customFormat="1" x14ac:dyDescent="0.3">
      <c r="K69" s="42"/>
      <c r="L69" s="45"/>
      <c r="O69" s="43"/>
      <c r="S69" s="41">
        <f t="shared" si="13"/>
        <v>0</v>
      </c>
      <c r="T69" s="41" t="str">
        <f t="shared" si="14"/>
        <v/>
      </c>
      <c r="U69" s="41" t="str">
        <f t="shared" si="15"/>
        <v/>
      </c>
      <c r="W69" s="44"/>
    </row>
    <row r="70" spans="11:23" s="41" customFormat="1" x14ac:dyDescent="0.3">
      <c r="K70" s="42"/>
      <c r="L70" s="45"/>
      <c r="O70" s="43"/>
      <c r="S70" s="41">
        <f t="shared" si="13"/>
        <v>0</v>
      </c>
      <c r="T70" s="41" t="str">
        <f t="shared" si="14"/>
        <v/>
      </c>
      <c r="U70" s="41" t="str">
        <f t="shared" si="15"/>
        <v/>
      </c>
      <c r="W70" s="44"/>
    </row>
    <row r="71" spans="11:23" s="41" customFormat="1" x14ac:dyDescent="0.3">
      <c r="K71" s="42"/>
      <c r="L71" s="45"/>
      <c r="O71" s="43"/>
      <c r="S71" s="41">
        <f t="shared" si="13"/>
        <v>0</v>
      </c>
      <c r="T71" s="41" t="str">
        <f t="shared" si="14"/>
        <v/>
      </c>
      <c r="U71" s="41" t="str">
        <f t="shared" si="15"/>
        <v/>
      </c>
      <c r="W71" s="44"/>
    </row>
    <row r="72" spans="11:23" s="41" customFormat="1" x14ac:dyDescent="0.3">
      <c r="K72" s="42"/>
      <c r="L72" s="45"/>
      <c r="O72" s="43"/>
      <c r="S72" s="41">
        <f t="shared" si="13"/>
        <v>0</v>
      </c>
      <c r="T72" s="41" t="str">
        <f t="shared" si="14"/>
        <v/>
      </c>
      <c r="U72" s="41" t="str">
        <f t="shared" si="15"/>
        <v/>
      </c>
      <c r="W72" s="44"/>
    </row>
    <row r="73" spans="11:23" s="41" customFormat="1" x14ac:dyDescent="0.3">
      <c r="K73" s="42"/>
      <c r="L73" s="45"/>
      <c r="O73" s="43"/>
      <c r="S73" s="41">
        <f t="shared" si="13"/>
        <v>0</v>
      </c>
      <c r="T73" s="41" t="str">
        <f t="shared" si="14"/>
        <v/>
      </c>
      <c r="U73" s="41" t="str">
        <f t="shared" si="15"/>
        <v/>
      </c>
      <c r="W73" s="44"/>
    </row>
    <row r="74" spans="11:23" s="41" customFormat="1" x14ac:dyDescent="0.3">
      <c r="K74" s="42"/>
      <c r="L74" s="45"/>
      <c r="O74" s="43"/>
      <c r="S74" s="41">
        <f t="shared" si="13"/>
        <v>0</v>
      </c>
      <c r="T74" s="41" t="str">
        <f t="shared" si="14"/>
        <v/>
      </c>
      <c r="U74" s="41" t="str">
        <f t="shared" si="15"/>
        <v/>
      </c>
      <c r="W74" s="44"/>
    </row>
    <row r="75" spans="11:23" s="41" customFormat="1" x14ac:dyDescent="0.3">
      <c r="K75" s="42"/>
      <c r="L75" s="45"/>
      <c r="O75" s="43"/>
      <c r="S75" s="41">
        <f t="shared" si="13"/>
        <v>0</v>
      </c>
      <c r="T75" s="41" t="str">
        <f t="shared" si="14"/>
        <v/>
      </c>
      <c r="U75" s="41" t="str">
        <f t="shared" si="15"/>
        <v/>
      </c>
      <c r="W75" s="44"/>
    </row>
    <row r="76" spans="11:23" s="41" customFormat="1" x14ac:dyDescent="0.3">
      <c r="K76" s="42"/>
      <c r="L76" s="45"/>
      <c r="O76" s="43"/>
      <c r="S76" s="41">
        <f t="shared" ref="S76:S98" si="16">IFERROR(ROUND((F76+H76)/IF(G76=0,1,G76),2),"")</f>
        <v>0</v>
      </c>
      <c r="T76" s="41" t="str">
        <f t="shared" si="14"/>
        <v/>
      </c>
      <c r="U76" s="41" t="str">
        <f t="shared" si="15"/>
        <v/>
      </c>
      <c r="W76" s="44"/>
    </row>
    <row r="77" spans="11:23" s="41" customFormat="1" x14ac:dyDescent="0.3">
      <c r="K77" s="42"/>
      <c r="L77" s="45"/>
      <c r="O77" s="43"/>
      <c r="S77" s="41">
        <f t="shared" si="16"/>
        <v>0</v>
      </c>
      <c r="T77" s="41" t="str">
        <f t="shared" si="14"/>
        <v/>
      </c>
      <c r="U77" s="41" t="str">
        <f t="shared" si="15"/>
        <v/>
      </c>
      <c r="W77" s="44"/>
    </row>
    <row r="78" spans="11:23" s="41" customFormat="1" x14ac:dyDescent="0.3">
      <c r="K78" s="42"/>
      <c r="L78" s="45"/>
      <c r="O78" s="43"/>
      <c r="S78" s="41">
        <f t="shared" si="16"/>
        <v>0</v>
      </c>
      <c r="T78" s="41" t="str">
        <f t="shared" ref="T78:T98" si="17">IFERROR(ROUND($J78/($M78+($N78/60)),2),"")</f>
        <v/>
      </c>
      <c r="U78" s="41" t="str">
        <f t="shared" ref="U78:U92" si="18">IFERROR(ROUND($I78/($M78+($N78/60)),0),"")</f>
        <v/>
      </c>
      <c r="W78" s="44"/>
    </row>
    <row r="79" spans="11:23" s="41" customFormat="1" x14ac:dyDescent="0.3">
      <c r="K79" s="42"/>
      <c r="L79" s="45"/>
      <c r="O79" s="43"/>
      <c r="S79" s="41">
        <f t="shared" si="16"/>
        <v>0</v>
      </c>
      <c r="T79" s="41" t="str">
        <f t="shared" si="17"/>
        <v/>
      </c>
      <c r="U79" s="41" t="str">
        <f t="shared" si="18"/>
        <v/>
      </c>
      <c r="W79" s="44"/>
    </row>
    <row r="80" spans="11:23" s="41" customFormat="1" x14ac:dyDescent="0.3">
      <c r="K80" s="42"/>
      <c r="L80" s="45"/>
      <c r="O80" s="43"/>
      <c r="S80" s="41">
        <f t="shared" si="16"/>
        <v>0</v>
      </c>
      <c r="T80" s="41" t="str">
        <f t="shared" si="17"/>
        <v/>
      </c>
      <c r="U80" s="41" t="str">
        <f t="shared" si="18"/>
        <v/>
      </c>
      <c r="W80" s="44"/>
    </row>
    <row r="81" spans="1:23" s="41" customFormat="1" x14ac:dyDescent="0.3">
      <c r="K81" s="42"/>
      <c r="L81" s="45"/>
      <c r="O81" s="43"/>
      <c r="S81" s="41">
        <f t="shared" si="16"/>
        <v>0</v>
      </c>
      <c r="T81" s="41" t="str">
        <f t="shared" si="17"/>
        <v/>
      </c>
      <c r="U81" s="41" t="str">
        <f t="shared" si="18"/>
        <v/>
      </c>
      <c r="W81" s="44"/>
    </row>
    <row r="82" spans="1:23" s="41" customFormat="1" x14ac:dyDescent="0.3">
      <c r="K82" s="42"/>
      <c r="L82" s="45"/>
      <c r="O82" s="43"/>
      <c r="S82" s="41">
        <f t="shared" si="16"/>
        <v>0</v>
      </c>
      <c r="T82" s="41" t="str">
        <f t="shared" si="17"/>
        <v/>
      </c>
      <c r="U82" s="41" t="str">
        <f t="shared" si="18"/>
        <v/>
      </c>
      <c r="W82" s="44"/>
    </row>
    <row r="83" spans="1:23" s="41" customFormat="1" x14ac:dyDescent="0.3">
      <c r="K83" s="42"/>
      <c r="L83" s="45"/>
      <c r="O83" s="43"/>
      <c r="S83" s="41">
        <f t="shared" si="16"/>
        <v>0</v>
      </c>
      <c r="T83" s="41" t="str">
        <f t="shared" si="17"/>
        <v/>
      </c>
      <c r="U83" s="41" t="str">
        <f t="shared" si="18"/>
        <v/>
      </c>
      <c r="W83" s="44"/>
    </row>
    <row r="84" spans="1:23" s="41" customFormat="1" x14ac:dyDescent="0.3">
      <c r="K84" s="42"/>
      <c r="L84" s="45"/>
      <c r="O84" s="43"/>
      <c r="S84" s="41">
        <f t="shared" si="16"/>
        <v>0</v>
      </c>
      <c r="T84" s="41" t="str">
        <f t="shared" si="17"/>
        <v/>
      </c>
      <c r="U84" s="41" t="str">
        <f t="shared" si="18"/>
        <v/>
      </c>
      <c r="W84" s="44"/>
    </row>
    <row r="85" spans="1:23" s="41" customFormat="1" x14ac:dyDescent="0.3">
      <c r="K85" s="42"/>
      <c r="L85" s="45"/>
      <c r="O85" s="43"/>
      <c r="S85" s="41">
        <f t="shared" si="16"/>
        <v>0</v>
      </c>
      <c r="T85" s="41" t="str">
        <f t="shared" si="17"/>
        <v/>
      </c>
      <c r="U85" s="41" t="str">
        <f t="shared" si="18"/>
        <v/>
      </c>
      <c r="W85" s="44"/>
    </row>
    <row r="86" spans="1:23" s="41" customFormat="1" x14ac:dyDescent="0.3">
      <c r="K86" s="42"/>
      <c r="L86" s="45"/>
      <c r="O86" s="43"/>
      <c r="S86" s="41">
        <f t="shared" si="16"/>
        <v>0</v>
      </c>
      <c r="T86" s="41" t="str">
        <f t="shared" si="17"/>
        <v/>
      </c>
      <c r="U86" s="41" t="str">
        <f t="shared" si="18"/>
        <v/>
      </c>
      <c r="W86" s="44"/>
    </row>
    <row r="87" spans="1:23" s="41" customFormat="1" x14ac:dyDescent="0.3">
      <c r="K87" s="42"/>
      <c r="L87" s="45"/>
      <c r="O87" s="43"/>
      <c r="S87" s="41">
        <f t="shared" si="16"/>
        <v>0</v>
      </c>
      <c r="T87" s="41" t="str">
        <f t="shared" si="17"/>
        <v/>
      </c>
      <c r="U87" s="41" t="str">
        <f t="shared" si="18"/>
        <v/>
      </c>
      <c r="W87" s="44"/>
    </row>
    <row r="88" spans="1:23" s="41" customFormat="1" x14ac:dyDescent="0.3">
      <c r="K88" s="42"/>
      <c r="L88" s="45"/>
      <c r="O88" s="43"/>
      <c r="S88" s="41">
        <f t="shared" si="16"/>
        <v>0</v>
      </c>
      <c r="T88" s="41" t="str">
        <f t="shared" si="17"/>
        <v/>
      </c>
      <c r="U88" s="41" t="str">
        <f t="shared" si="18"/>
        <v/>
      </c>
      <c r="W88" s="44"/>
    </row>
    <row r="89" spans="1:23" s="41" customFormat="1" x14ac:dyDescent="0.3">
      <c r="K89" s="42"/>
      <c r="L89" s="45"/>
      <c r="O89" s="43"/>
      <c r="S89" s="41">
        <f t="shared" si="16"/>
        <v>0</v>
      </c>
      <c r="T89" s="41" t="str">
        <f t="shared" si="17"/>
        <v/>
      </c>
      <c r="U89" s="41" t="str">
        <f t="shared" si="18"/>
        <v/>
      </c>
      <c r="W89" s="44"/>
    </row>
    <row r="90" spans="1:23" s="41" customFormat="1" x14ac:dyDescent="0.3">
      <c r="K90" s="42"/>
      <c r="L90" s="45"/>
      <c r="O90" s="43"/>
      <c r="S90" s="41">
        <f t="shared" si="16"/>
        <v>0</v>
      </c>
      <c r="T90" s="41" t="str">
        <f t="shared" si="17"/>
        <v/>
      </c>
      <c r="U90" s="41" t="str">
        <f t="shared" si="18"/>
        <v/>
      </c>
      <c r="W90" s="44"/>
    </row>
    <row r="91" spans="1:23" s="41" customFormat="1" x14ac:dyDescent="0.3">
      <c r="K91" s="42"/>
      <c r="L91" s="45"/>
      <c r="O91" s="43"/>
      <c r="S91" s="41">
        <f t="shared" si="16"/>
        <v>0</v>
      </c>
      <c r="T91" s="41" t="str">
        <f t="shared" si="17"/>
        <v/>
      </c>
      <c r="U91" s="46" t="str">
        <f t="shared" si="18"/>
        <v/>
      </c>
      <c r="W91" s="44"/>
    </row>
    <row r="92" spans="1:23" s="41" customFormat="1" x14ac:dyDescent="0.3">
      <c r="A92" s="46"/>
      <c r="B92" s="46"/>
      <c r="C92" s="46"/>
      <c r="D92" s="46"/>
      <c r="E92" s="46"/>
      <c r="F92" s="46"/>
      <c r="G92" s="46"/>
      <c r="H92" s="46"/>
      <c r="I92" s="46"/>
      <c r="J92" s="46"/>
      <c r="K92" s="47"/>
      <c r="L92" s="45"/>
      <c r="M92" s="46"/>
      <c r="N92" s="46"/>
      <c r="O92" s="48"/>
      <c r="Q92" s="46"/>
      <c r="S92" s="41">
        <f t="shared" si="16"/>
        <v>0</v>
      </c>
      <c r="T92" s="46" t="str">
        <f t="shared" si="17"/>
        <v/>
      </c>
      <c r="U92" s="46" t="str">
        <f t="shared" si="18"/>
        <v/>
      </c>
      <c r="V92" s="46"/>
      <c r="W92" s="49"/>
    </row>
    <row r="93" spans="1:23" s="41" customFormat="1" x14ac:dyDescent="0.3">
      <c r="K93" s="42"/>
      <c r="L93" s="45"/>
      <c r="O93" s="43"/>
      <c r="S93" s="41">
        <f t="shared" si="16"/>
        <v>0</v>
      </c>
      <c r="T93" s="46" t="str">
        <f t="shared" si="17"/>
        <v/>
      </c>
      <c r="U93" s="44" t="str">
        <f t="shared" ref="U93:U98" si="19">IFERROR($I93/($M93+($N93/60)),"")</f>
        <v/>
      </c>
      <c r="W93" s="44"/>
    </row>
    <row r="94" spans="1:23" s="41" customFormat="1" x14ac:dyDescent="0.3">
      <c r="K94" s="42"/>
      <c r="L94" s="45"/>
      <c r="O94" s="43"/>
      <c r="S94" s="41">
        <f t="shared" si="16"/>
        <v>0</v>
      </c>
      <c r="T94" s="46" t="str">
        <f t="shared" si="17"/>
        <v/>
      </c>
      <c r="U94" s="44" t="str">
        <f t="shared" si="19"/>
        <v/>
      </c>
      <c r="W94" s="44"/>
    </row>
    <row r="95" spans="1:23" s="41" customFormat="1" x14ac:dyDescent="0.3">
      <c r="K95" s="42"/>
      <c r="L95" s="45"/>
      <c r="O95" s="43"/>
      <c r="S95" s="41">
        <f t="shared" si="16"/>
        <v>0</v>
      </c>
      <c r="T95" s="46" t="str">
        <f t="shared" si="17"/>
        <v/>
      </c>
      <c r="U95" s="44" t="str">
        <f t="shared" si="19"/>
        <v/>
      </c>
      <c r="W95" s="44"/>
    </row>
    <row r="96" spans="1:23" s="41" customFormat="1" x14ac:dyDescent="0.3">
      <c r="K96" s="42"/>
      <c r="L96" s="45"/>
      <c r="O96" s="43"/>
      <c r="S96" s="41">
        <f t="shared" si="16"/>
        <v>0</v>
      </c>
      <c r="T96" s="46" t="str">
        <f t="shared" si="17"/>
        <v/>
      </c>
      <c r="U96" s="44" t="str">
        <f t="shared" si="19"/>
        <v/>
      </c>
      <c r="W96" s="44"/>
    </row>
    <row r="97" spans="1:23" s="41" customFormat="1" x14ac:dyDescent="0.3">
      <c r="K97" s="42"/>
      <c r="L97" s="45"/>
      <c r="O97" s="43"/>
      <c r="S97" s="41">
        <f t="shared" si="16"/>
        <v>0</v>
      </c>
      <c r="T97" s="46" t="str">
        <f t="shared" si="17"/>
        <v/>
      </c>
      <c r="U97" s="44" t="str">
        <f t="shared" si="19"/>
        <v/>
      </c>
      <c r="W97" s="44"/>
    </row>
    <row r="98" spans="1:23" s="41" customFormat="1" x14ac:dyDescent="0.3">
      <c r="A98" s="46"/>
      <c r="B98" s="46"/>
      <c r="C98" s="46"/>
      <c r="D98" s="46"/>
      <c r="E98" s="46"/>
      <c r="F98" s="47"/>
      <c r="G98" s="47"/>
      <c r="H98" s="47"/>
      <c r="I98" s="47"/>
      <c r="J98" s="47"/>
      <c r="K98" s="47"/>
      <c r="L98" s="50"/>
      <c r="M98" s="47"/>
      <c r="N98" s="47"/>
      <c r="O98" s="48"/>
      <c r="Q98" s="46"/>
      <c r="S98" s="41">
        <f t="shared" si="16"/>
        <v>0</v>
      </c>
      <c r="T98" s="46" t="str">
        <f t="shared" si="17"/>
        <v/>
      </c>
      <c r="U98" s="49" t="str">
        <f t="shared" si="19"/>
        <v/>
      </c>
      <c r="V98" s="46"/>
      <c r="W98" s="49"/>
    </row>
    <row r="99" spans="1:23" s="41" customFormat="1" x14ac:dyDescent="0.3">
      <c r="O99" s="43"/>
    </row>
    <row r="101" spans="1:23" s="41" customFormat="1" x14ac:dyDescent="0.3">
      <c r="O101" s="43"/>
    </row>
    <row r="102" spans="1:23" s="41" customFormat="1" x14ac:dyDescent="0.3">
      <c r="O102" s="43"/>
    </row>
    <row r="103" spans="1:23" s="41" customFormat="1" x14ac:dyDescent="0.3">
      <c r="O103" s="43"/>
    </row>
    <row r="104" spans="1:23" s="41" customFormat="1" x14ac:dyDescent="0.3">
      <c r="O104" s="43"/>
    </row>
    <row r="105" spans="1:23" s="41" customFormat="1" x14ac:dyDescent="0.3">
      <c r="O105" s="43"/>
    </row>
    <row r="107" spans="1:23" x14ac:dyDescent="0.3">
      <c r="A107" s="41"/>
      <c r="B107" s="41"/>
      <c r="C107" s="41"/>
      <c r="D107" s="41"/>
      <c r="E107" s="41"/>
      <c r="F107" s="41"/>
      <c r="G107" s="41"/>
      <c r="H107" s="41"/>
      <c r="I107" s="41"/>
      <c r="J107" s="41"/>
      <c r="K107" s="42"/>
      <c r="L107" s="41"/>
      <c r="M107" s="41"/>
      <c r="N107" s="41"/>
      <c r="O107" s="43"/>
      <c r="P107" s="41"/>
      <c r="Q107" s="51"/>
      <c r="S107" s="51"/>
      <c r="T107" s="44"/>
    </row>
    <row r="108" spans="1:23" x14ac:dyDescent="0.3">
      <c r="F108" s="47"/>
      <c r="G108" s="47"/>
      <c r="H108" s="47"/>
      <c r="Q108" s="52"/>
      <c r="S108" s="52"/>
    </row>
    <row r="109" spans="1:23" s="41" customFormat="1" x14ac:dyDescent="0.3">
      <c r="K109" s="42"/>
      <c r="O109" s="43"/>
      <c r="Q109" s="51"/>
      <c r="S109" s="51"/>
      <c r="T109" s="44"/>
      <c r="W109" s="44"/>
    </row>
    <row r="110" spans="1:23" x14ac:dyDescent="0.3">
      <c r="A110" s="41"/>
      <c r="C110" s="41"/>
      <c r="D110" s="41"/>
      <c r="F110" s="47"/>
      <c r="G110" s="47"/>
      <c r="H110" s="47"/>
      <c r="Q110" s="52"/>
      <c r="S110" s="52"/>
    </row>
    <row r="111" spans="1:23" x14ac:dyDescent="0.3">
      <c r="F111" s="47"/>
      <c r="G111" s="47"/>
      <c r="H111" s="47"/>
      <c r="Q111" s="52"/>
      <c r="S111" s="52"/>
    </row>
    <row r="112" spans="1:23" x14ac:dyDescent="0.3">
      <c r="F112" s="47"/>
      <c r="H112" s="47"/>
      <c r="Q112" s="52"/>
      <c r="S112" s="52"/>
    </row>
    <row r="113" spans="6:19" x14ac:dyDescent="0.3">
      <c r="F113" s="47"/>
      <c r="G113" s="47"/>
      <c r="H113" s="47"/>
      <c r="Q113" s="52"/>
      <c r="S113" s="52"/>
    </row>
    <row r="114" spans="6:19" x14ac:dyDescent="0.3">
      <c r="F114" s="47"/>
      <c r="Q114" s="52"/>
      <c r="S114" s="52"/>
    </row>
    <row r="115" spans="6:19" x14ac:dyDescent="0.3">
      <c r="Q115" s="52"/>
      <c r="S115" s="52"/>
    </row>
    <row r="116" spans="6:19" x14ac:dyDescent="0.3">
      <c r="Q116" s="52"/>
      <c r="S116" s="52"/>
    </row>
    <row r="117" spans="6:19" x14ac:dyDescent="0.3">
      <c r="Q117" s="52"/>
      <c r="S117" s="52"/>
    </row>
    <row r="118" spans="6:19" x14ac:dyDescent="0.3">
      <c r="Q118" s="52"/>
      <c r="S118" s="52"/>
    </row>
    <row r="119" spans="6:19" x14ac:dyDescent="0.3">
      <c r="Q119" s="52"/>
      <c r="S119" s="52"/>
    </row>
    <row r="120" spans="6:19" x14ac:dyDescent="0.3">
      <c r="Q120" s="52"/>
      <c r="S120" s="52"/>
    </row>
    <row r="121" spans="6:19" x14ac:dyDescent="0.3">
      <c r="Q121" s="52"/>
      <c r="S121" s="52"/>
    </row>
    <row r="122" spans="6:19" x14ac:dyDescent="0.3">
      <c r="Q122" s="52"/>
      <c r="S122" s="52"/>
    </row>
    <row r="123" spans="6:19" x14ac:dyDescent="0.3">
      <c r="Q123" s="52"/>
      <c r="S123" s="52"/>
    </row>
    <row r="124" spans="6:19" x14ac:dyDescent="0.3">
      <c r="Q124" s="52"/>
      <c r="S124" s="52"/>
    </row>
    <row r="125" spans="6:19" x14ac:dyDescent="0.3">
      <c r="Q125" s="52"/>
      <c r="S125" s="52"/>
    </row>
    <row r="126" spans="6:19" x14ac:dyDescent="0.3">
      <c r="Q126" s="52"/>
      <c r="S126" s="52"/>
    </row>
    <row r="127" spans="6:19" x14ac:dyDescent="0.3">
      <c r="Q127" s="52"/>
      <c r="S127" s="52"/>
    </row>
    <row r="128" spans="6:19" x14ac:dyDescent="0.3">
      <c r="Q128" s="52"/>
      <c r="S128" s="52"/>
    </row>
    <row r="129" spans="17:19" x14ac:dyDescent="0.3">
      <c r="Q129" s="52"/>
      <c r="S129" s="52"/>
    </row>
    <row r="130" spans="17:19" x14ac:dyDescent="0.3">
      <c r="Q130" s="52"/>
      <c r="S130" s="52"/>
    </row>
    <row r="131" spans="17:19" x14ac:dyDescent="0.3">
      <c r="Q131" s="52"/>
      <c r="S131" s="52"/>
    </row>
    <row r="132" spans="17:19" x14ac:dyDescent="0.3">
      <c r="Q132" s="52"/>
      <c r="S132" s="52"/>
    </row>
    <row r="133" spans="17:19" x14ac:dyDescent="0.3">
      <c r="Q133" s="52"/>
      <c r="S133" s="52"/>
    </row>
    <row r="134" spans="17:19" x14ac:dyDescent="0.3">
      <c r="Q134" s="52"/>
      <c r="S134" s="52"/>
    </row>
    <row r="135" spans="17:19" x14ac:dyDescent="0.3">
      <c r="Q135" s="52"/>
      <c r="S135" s="52"/>
    </row>
    <row r="136" spans="17:19" x14ac:dyDescent="0.3">
      <c r="Q136" s="52"/>
      <c r="S136" s="52"/>
    </row>
    <row r="137" spans="17:19" x14ac:dyDescent="0.3">
      <c r="Q137" s="52"/>
      <c r="S137" s="52"/>
    </row>
    <row r="138" spans="17:19" x14ac:dyDescent="0.3">
      <c r="Q138" s="52"/>
      <c r="S138" s="52"/>
    </row>
    <row r="139" spans="17:19" x14ac:dyDescent="0.3">
      <c r="Q139" s="52"/>
      <c r="S139" s="52"/>
    </row>
    <row r="140" spans="17:19" x14ac:dyDescent="0.3">
      <c r="Q140" s="52"/>
      <c r="S140" s="52"/>
    </row>
    <row r="141" spans="17:19" x14ac:dyDescent="0.3">
      <c r="Q141" s="52"/>
      <c r="S141" s="52"/>
    </row>
    <row r="142" spans="17:19" x14ac:dyDescent="0.3">
      <c r="Q142" s="52"/>
      <c r="S142" s="52"/>
    </row>
    <row r="143" spans="17:19" x14ac:dyDescent="0.3">
      <c r="Q143" s="52"/>
      <c r="S143" s="52"/>
    </row>
    <row r="144" spans="17:19" x14ac:dyDescent="0.3">
      <c r="Q144" s="52"/>
      <c r="S144" s="52"/>
    </row>
    <row r="145" spans="17:19" x14ac:dyDescent="0.3">
      <c r="Q145" s="52"/>
      <c r="S145" s="52"/>
    </row>
    <row r="146" spans="17:19" x14ac:dyDescent="0.3">
      <c r="Q146" s="52"/>
      <c r="S146" s="52"/>
    </row>
    <row r="147" spans="17:19" x14ac:dyDescent="0.3">
      <c r="Q147" s="52"/>
      <c r="S147" s="52"/>
    </row>
    <row r="148" spans="17:19" x14ac:dyDescent="0.3">
      <c r="Q148" s="52"/>
      <c r="S148" s="52"/>
    </row>
    <row r="149" spans="17:19" x14ac:dyDescent="0.3">
      <c r="Q149" s="52"/>
      <c r="S149" s="52"/>
    </row>
    <row r="150" spans="17:19" x14ac:dyDescent="0.3">
      <c r="Q150" s="52"/>
      <c r="S150" s="52"/>
    </row>
    <row r="151" spans="17:19" x14ac:dyDescent="0.3">
      <c r="Q151" s="52"/>
      <c r="S151" s="52"/>
    </row>
    <row r="152" spans="17:19" x14ac:dyDescent="0.3">
      <c r="Q152" s="52"/>
      <c r="S152" s="52"/>
    </row>
    <row r="153" spans="17:19" x14ac:dyDescent="0.3">
      <c r="Q153" s="52"/>
      <c r="S153" s="52"/>
    </row>
    <row r="154" spans="17:19" x14ac:dyDescent="0.3">
      <c r="Q154" s="52"/>
      <c r="S154" s="52"/>
    </row>
    <row r="155" spans="17:19" x14ac:dyDescent="0.3">
      <c r="Q155" s="52"/>
      <c r="S155" s="52"/>
    </row>
    <row r="156" spans="17:19" x14ac:dyDescent="0.3">
      <c r="Q156" s="52"/>
      <c r="S156" s="52"/>
    </row>
    <row r="157" spans="17:19" x14ac:dyDescent="0.3">
      <c r="Q157" s="52"/>
      <c r="S157" s="52"/>
    </row>
    <row r="158" spans="17:19" x14ac:dyDescent="0.3">
      <c r="Q158" s="52"/>
      <c r="S158" s="52"/>
    </row>
    <row r="159" spans="17:19" x14ac:dyDescent="0.3">
      <c r="Q159" s="52"/>
      <c r="S159" s="52"/>
    </row>
    <row r="160" spans="17:19" x14ac:dyDescent="0.3">
      <c r="Q160" s="52"/>
      <c r="S160" s="52"/>
    </row>
    <row r="161" spans="17:19" x14ac:dyDescent="0.3">
      <c r="Q161" s="52"/>
      <c r="S161" s="52"/>
    </row>
    <row r="162" spans="17:19" x14ac:dyDescent="0.3">
      <c r="Q162" s="52"/>
      <c r="S162" s="52"/>
    </row>
    <row r="163" spans="17:19" x14ac:dyDescent="0.3">
      <c r="Q163" s="52"/>
      <c r="S163" s="52"/>
    </row>
    <row r="164" spans="17:19" x14ac:dyDescent="0.3">
      <c r="Q164" s="52"/>
      <c r="S164" s="52"/>
    </row>
    <row r="165" spans="17:19" x14ac:dyDescent="0.3">
      <c r="Q165" s="52"/>
      <c r="S165" s="52"/>
    </row>
    <row r="166" spans="17:19" x14ac:dyDescent="0.3">
      <c r="Q166" s="52"/>
      <c r="S166" s="52"/>
    </row>
    <row r="167" spans="17:19" x14ac:dyDescent="0.3">
      <c r="Q167" s="52"/>
      <c r="S167" s="52"/>
    </row>
    <row r="168" spans="17:19" x14ac:dyDescent="0.3">
      <c r="Q168" s="52"/>
      <c r="S168" s="52"/>
    </row>
    <row r="169" spans="17:19" x14ac:dyDescent="0.3">
      <c r="Q169" s="52"/>
      <c r="S169" s="52"/>
    </row>
    <row r="170" spans="17:19" x14ac:dyDescent="0.3">
      <c r="Q170" s="52"/>
      <c r="S170" s="52"/>
    </row>
    <row r="171" spans="17:19" x14ac:dyDescent="0.3">
      <c r="Q171" s="52"/>
      <c r="S171" s="52"/>
    </row>
    <row r="172" spans="17:19" x14ac:dyDescent="0.3">
      <c r="Q172" s="52"/>
      <c r="S172" s="52"/>
    </row>
    <row r="173" spans="17:19" x14ac:dyDescent="0.3">
      <c r="Q173" s="52"/>
      <c r="S173" s="52"/>
    </row>
    <row r="174" spans="17:19" x14ac:dyDescent="0.3">
      <c r="Q174" s="52"/>
      <c r="S174" s="52"/>
    </row>
    <row r="175" spans="17:19" x14ac:dyDescent="0.3">
      <c r="Q175" s="52"/>
      <c r="S175" s="52"/>
    </row>
    <row r="176" spans="17:19" x14ac:dyDescent="0.3">
      <c r="Q176" s="52"/>
      <c r="S176" s="52"/>
    </row>
    <row r="177" spans="17:19" x14ac:dyDescent="0.3">
      <c r="Q177" s="52"/>
      <c r="S177" s="52"/>
    </row>
    <row r="178" spans="17:19" x14ac:dyDescent="0.3">
      <c r="Q178" s="52"/>
      <c r="S178" s="52"/>
    </row>
    <row r="179" spans="17:19" x14ac:dyDescent="0.3">
      <c r="Q179" s="52"/>
      <c r="S179" s="52"/>
    </row>
    <row r="180" spans="17:19" x14ac:dyDescent="0.3">
      <c r="Q180" s="52"/>
      <c r="S180" s="52"/>
    </row>
    <row r="181" spans="17:19" x14ac:dyDescent="0.3">
      <c r="Q181" s="52"/>
      <c r="S181" s="52"/>
    </row>
    <row r="182" spans="17:19" x14ac:dyDescent="0.3">
      <c r="Q182" s="52"/>
      <c r="S182" s="52"/>
    </row>
    <row r="183" spans="17:19" x14ac:dyDescent="0.3">
      <c r="Q183" s="52"/>
      <c r="S183" s="52"/>
    </row>
    <row r="184" spans="17:19" x14ac:dyDescent="0.3">
      <c r="Q184" s="52"/>
      <c r="S184" s="52"/>
    </row>
    <row r="185" spans="17:19" x14ac:dyDescent="0.3">
      <c r="Q185" s="52"/>
      <c r="S185" s="52"/>
    </row>
    <row r="186" spans="17:19" x14ac:dyDescent="0.3">
      <c r="Q186" s="52"/>
      <c r="S186" s="52"/>
    </row>
    <row r="187" spans="17:19" x14ac:dyDescent="0.3">
      <c r="Q187" s="52"/>
      <c r="S187" s="52"/>
    </row>
    <row r="188" spans="17:19" x14ac:dyDescent="0.3">
      <c r="Q188" s="52"/>
      <c r="S188" s="52"/>
    </row>
    <row r="189" spans="17:19" x14ac:dyDescent="0.3">
      <c r="Q189" s="52"/>
      <c r="S189" s="52"/>
    </row>
    <row r="190" spans="17:19" x14ac:dyDescent="0.3">
      <c r="Q190" s="52"/>
      <c r="S190" s="52"/>
    </row>
    <row r="191" spans="17:19" x14ac:dyDescent="0.3">
      <c r="Q191" s="52"/>
      <c r="S191" s="52"/>
    </row>
    <row r="192" spans="17:19" x14ac:dyDescent="0.3">
      <c r="Q192" s="52"/>
      <c r="S192" s="52"/>
    </row>
    <row r="193" spans="17:19" x14ac:dyDescent="0.3">
      <c r="Q193" s="52"/>
      <c r="S193" s="52"/>
    </row>
    <row r="194" spans="17:19" x14ac:dyDescent="0.3">
      <c r="Q194" s="52"/>
      <c r="S194" s="52"/>
    </row>
    <row r="195" spans="17:19" x14ac:dyDescent="0.3">
      <c r="Q195" s="52"/>
      <c r="S195" s="52"/>
    </row>
    <row r="196" spans="17:19" x14ac:dyDescent="0.3">
      <c r="Q196" s="52"/>
      <c r="S196" s="52"/>
    </row>
    <row r="197" spans="17:19" x14ac:dyDescent="0.3">
      <c r="Q197" s="52"/>
      <c r="S197" s="52"/>
    </row>
    <row r="198" spans="17:19" x14ac:dyDescent="0.3">
      <c r="Q198" s="52"/>
      <c r="S198" s="52"/>
    </row>
    <row r="199" spans="17:19" x14ac:dyDescent="0.3">
      <c r="Q199" s="52"/>
      <c r="S199" s="52"/>
    </row>
    <row r="200" spans="17:19" x14ac:dyDescent="0.3">
      <c r="Q200" s="52"/>
      <c r="S200" s="52"/>
    </row>
    <row r="201" spans="17:19" x14ac:dyDescent="0.3">
      <c r="Q201" s="52"/>
      <c r="S201" s="52"/>
    </row>
    <row r="202" spans="17:19" x14ac:dyDescent="0.3">
      <c r="Q202" s="52"/>
      <c r="S202" s="52"/>
    </row>
    <row r="203" spans="17:19" x14ac:dyDescent="0.3">
      <c r="Q203" s="52"/>
      <c r="S203" s="52"/>
    </row>
    <row r="204" spans="17:19" x14ac:dyDescent="0.3">
      <c r="Q204" s="52"/>
      <c r="S204" s="52"/>
    </row>
    <row r="205" spans="17:19" x14ac:dyDescent="0.3">
      <c r="Q205" s="52"/>
      <c r="S205" s="52"/>
    </row>
    <row r="206" spans="17:19" x14ac:dyDescent="0.3">
      <c r="Q206" s="52"/>
      <c r="S206" s="52"/>
    </row>
    <row r="207" spans="17:19" x14ac:dyDescent="0.3">
      <c r="Q207" s="52"/>
      <c r="S207" s="52"/>
    </row>
    <row r="208" spans="17:19" x14ac:dyDescent="0.3">
      <c r="Q208" s="52"/>
      <c r="S208" s="52"/>
    </row>
    <row r="209" spans="17:19" x14ac:dyDescent="0.3">
      <c r="Q209" s="52"/>
      <c r="S209" s="52"/>
    </row>
    <row r="210" spans="17:19" x14ac:dyDescent="0.3">
      <c r="Q210" s="52"/>
      <c r="S210" s="52"/>
    </row>
    <row r="211" spans="17:19" x14ac:dyDescent="0.3">
      <c r="Q211" s="52"/>
      <c r="S211" s="52"/>
    </row>
    <row r="212" spans="17:19" x14ac:dyDescent="0.3">
      <c r="Q212" s="52"/>
      <c r="S212" s="52"/>
    </row>
    <row r="213" spans="17:19" x14ac:dyDescent="0.3">
      <c r="Q213" s="52"/>
      <c r="S213" s="52"/>
    </row>
    <row r="214" spans="17:19" x14ac:dyDescent="0.3">
      <c r="Q214" s="52"/>
      <c r="S214" s="52"/>
    </row>
    <row r="215" spans="17:19" x14ac:dyDescent="0.3">
      <c r="Q215" s="52"/>
      <c r="S215" s="52"/>
    </row>
    <row r="216" spans="17:19" x14ac:dyDescent="0.3">
      <c r="Q216" s="52"/>
      <c r="S216" s="52"/>
    </row>
    <row r="217" spans="17:19" x14ac:dyDescent="0.3">
      <c r="Q217" s="52"/>
      <c r="S217" s="52"/>
    </row>
    <row r="218" spans="17:19" x14ac:dyDescent="0.3">
      <c r="Q218" s="52"/>
      <c r="S218" s="52"/>
    </row>
    <row r="219" spans="17:19" x14ac:dyDescent="0.3">
      <c r="Q219" s="52"/>
      <c r="S219" s="52"/>
    </row>
    <row r="220" spans="17:19" x14ac:dyDescent="0.3">
      <c r="Q220" s="52"/>
      <c r="S220" s="52"/>
    </row>
    <row r="221" spans="17:19" x14ac:dyDescent="0.3">
      <c r="Q221" s="52"/>
      <c r="S221" s="52"/>
    </row>
    <row r="222" spans="17:19" x14ac:dyDescent="0.3">
      <c r="Q222" s="52"/>
      <c r="S222" s="52"/>
    </row>
    <row r="223" spans="17:19" x14ac:dyDescent="0.3">
      <c r="Q223" s="52"/>
      <c r="S223" s="52"/>
    </row>
    <row r="224" spans="17:19" x14ac:dyDescent="0.3">
      <c r="Q224" s="52"/>
      <c r="S224" s="52"/>
    </row>
    <row r="225" spans="17:19" x14ac:dyDescent="0.3">
      <c r="Q225" s="52"/>
      <c r="S225" s="52"/>
    </row>
    <row r="226" spans="17:19" x14ac:dyDescent="0.3">
      <c r="Q226" s="52"/>
      <c r="S226" s="52"/>
    </row>
    <row r="227" spans="17:19" x14ac:dyDescent="0.3">
      <c r="Q227" s="52"/>
      <c r="S227" s="52"/>
    </row>
    <row r="228" spans="17:19" x14ac:dyDescent="0.3">
      <c r="Q228" s="52"/>
      <c r="S228" s="52"/>
    </row>
    <row r="229" spans="17:19" x14ac:dyDescent="0.3">
      <c r="Q229" s="52"/>
      <c r="S229" s="52"/>
    </row>
    <row r="230" spans="17:19" x14ac:dyDescent="0.3">
      <c r="Q230" s="52"/>
      <c r="S230" s="52"/>
    </row>
    <row r="231" spans="17:19" x14ac:dyDescent="0.3">
      <c r="Q231" s="52"/>
      <c r="S231" s="52"/>
    </row>
    <row r="232" spans="17:19" x14ac:dyDescent="0.3">
      <c r="Q232" s="52"/>
      <c r="S232" s="52"/>
    </row>
    <row r="233" spans="17:19" x14ac:dyDescent="0.3">
      <c r="Q233" s="52"/>
      <c r="S233" s="52"/>
    </row>
    <row r="234" spans="17:19" x14ac:dyDescent="0.3">
      <c r="Q234" s="52"/>
      <c r="S234" s="52"/>
    </row>
    <row r="235" spans="17:19" x14ac:dyDescent="0.3">
      <c r="Q235" s="52"/>
      <c r="S235" s="52"/>
    </row>
    <row r="236" spans="17:19" x14ac:dyDescent="0.3">
      <c r="Q236" s="52"/>
      <c r="S236" s="52"/>
    </row>
    <row r="237" spans="17:19" x14ac:dyDescent="0.3">
      <c r="Q237" s="52"/>
      <c r="S237" s="52"/>
    </row>
    <row r="238" spans="17:19" x14ac:dyDescent="0.3">
      <c r="Q238" s="52"/>
      <c r="S238" s="52"/>
    </row>
    <row r="239" spans="17:19" x14ac:dyDescent="0.3">
      <c r="Q239" s="52"/>
      <c r="S239" s="52"/>
    </row>
    <row r="240" spans="17:19" x14ac:dyDescent="0.3">
      <c r="Q240" s="52"/>
      <c r="S240" s="52"/>
    </row>
    <row r="241" spans="17:19" x14ac:dyDescent="0.3">
      <c r="Q241" s="52"/>
      <c r="S241" s="52"/>
    </row>
    <row r="242" spans="17:19" x14ac:dyDescent="0.3">
      <c r="Q242" s="52"/>
      <c r="S242" s="52"/>
    </row>
    <row r="243" spans="17:19" x14ac:dyDescent="0.3">
      <c r="Q243" s="52"/>
      <c r="S243" s="52"/>
    </row>
    <row r="244" spans="17:19" x14ac:dyDescent="0.3">
      <c r="Q244" s="52"/>
      <c r="S244" s="52"/>
    </row>
    <row r="245" spans="17:19" x14ac:dyDescent="0.3">
      <c r="Q245" s="52"/>
      <c r="S245" s="52"/>
    </row>
    <row r="246" spans="17:19" x14ac:dyDescent="0.3">
      <c r="Q246" s="52"/>
      <c r="S246" s="52"/>
    </row>
    <row r="247" spans="17:19" x14ac:dyDescent="0.3">
      <c r="Q247" s="52"/>
      <c r="S247" s="52"/>
    </row>
    <row r="248" spans="17:19" x14ac:dyDescent="0.3">
      <c r="Q248" s="52"/>
      <c r="S248" s="52"/>
    </row>
    <row r="249" spans="17:19" x14ac:dyDescent="0.3">
      <c r="Q249" s="52"/>
      <c r="S249" s="52"/>
    </row>
    <row r="250" spans="17:19" x14ac:dyDescent="0.3">
      <c r="Q250" s="52"/>
      <c r="S250" s="52"/>
    </row>
    <row r="251" spans="17:19" x14ac:dyDescent="0.3">
      <c r="Q251" s="52"/>
      <c r="S251" s="52"/>
    </row>
    <row r="252" spans="17:19" x14ac:dyDescent="0.3">
      <c r="Q252" s="52"/>
      <c r="S252" s="52"/>
    </row>
    <row r="253" spans="17:19" x14ac:dyDescent="0.3">
      <c r="Q253" s="52"/>
      <c r="S253" s="52"/>
    </row>
    <row r="254" spans="17:19" x14ac:dyDescent="0.3">
      <c r="Q254" s="52"/>
      <c r="S254" s="52"/>
    </row>
    <row r="255" spans="17:19" x14ac:dyDescent="0.3">
      <c r="Q255" s="52"/>
      <c r="S255" s="52"/>
    </row>
    <row r="256" spans="17:19" x14ac:dyDescent="0.3">
      <c r="Q256" s="52"/>
      <c r="S256" s="52"/>
    </row>
    <row r="257" spans="17:19" x14ac:dyDescent="0.3">
      <c r="Q257" s="52"/>
      <c r="S257" s="52"/>
    </row>
    <row r="258" spans="17:19" x14ac:dyDescent="0.3">
      <c r="Q258" s="52"/>
      <c r="S258" s="52"/>
    </row>
    <row r="259" spans="17:19" x14ac:dyDescent="0.3">
      <c r="Q259" s="52"/>
      <c r="S259" s="52"/>
    </row>
    <row r="260" spans="17:19" x14ac:dyDescent="0.3">
      <c r="Q260" s="52"/>
      <c r="S260" s="52"/>
    </row>
    <row r="261" spans="17:19" x14ac:dyDescent="0.3">
      <c r="Q261" s="52"/>
      <c r="S261" s="52"/>
    </row>
    <row r="262" spans="17:19" x14ac:dyDescent="0.3">
      <c r="Q262" s="52"/>
      <c r="S262" s="52"/>
    </row>
    <row r="263" spans="17:19" x14ac:dyDescent="0.3">
      <c r="Q263" s="52"/>
      <c r="S263" s="52"/>
    </row>
    <row r="264" spans="17:19" x14ac:dyDescent="0.3">
      <c r="Q264" s="52"/>
      <c r="S264" s="52"/>
    </row>
    <row r="265" spans="17:19" x14ac:dyDescent="0.3">
      <c r="Q265" s="52"/>
      <c r="S265" s="52"/>
    </row>
    <row r="266" spans="17:19" x14ac:dyDescent="0.3">
      <c r="Q266" s="52"/>
      <c r="S266" s="52"/>
    </row>
    <row r="267" spans="17:19" x14ac:dyDescent="0.3">
      <c r="Q267" s="52"/>
      <c r="S267" s="52"/>
    </row>
    <row r="268" spans="17:19" x14ac:dyDescent="0.3">
      <c r="Q268" s="52"/>
      <c r="S268" s="52"/>
    </row>
    <row r="269" spans="17:19" x14ac:dyDescent="0.3">
      <c r="Q269" s="52"/>
      <c r="S269" s="52"/>
    </row>
    <row r="270" spans="17:19" x14ac:dyDescent="0.3">
      <c r="Q270" s="52"/>
      <c r="S270" s="52"/>
    </row>
    <row r="271" spans="17:19" x14ac:dyDescent="0.3">
      <c r="Q271" s="52"/>
      <c r="S271" s="52"/>
    </row>
    <row r="272" spans="17:19" x14ac:dyDescent="0.3">
      <c r="Q272" s="52"/>
      <c r="S272" s="52"/>
    </row>
    <row r="273" spans="17:19" x14ac:dyDescent="0.3">
      <c r="Q273" s="52"/>
      <c r="S273" s="52"/>
    </row>
    <row r="274" spans="17:19" x14ac:dyDescent="0.3">
      <c r="Q274" s="52"/>
      <c r="S274" s="52"/>
    </row>
    <row r="275" spans="17:19" x14ac:dyDescent="0.3">
      <c r="Q275" s="52"/>
      <c r="S275" s="52"/>
    </row>
    <row r="276" spans="17:19" x14ac:dyDescent="0.3">
      <c r="Q276" s="52"/>
      <c r="S276" s="52"/>
    </row>
    <row r="277" spans="17:19" x14ac:dyDescent="0.3">
      <c r="Q277" s="52"/>
      <c r="S277" s="52"/>
    </row>
    <row r="278" spans="17:19" x14ac:dyDescent="0.3">
      <c r="Q278" s="52"/>
      <c r="S278" s="52"/>
    </row>
    <row r="279" spans="17:19" x14ac:dyDescent="0.3">
      <c r="Q279" s="52"/>
      <c r="S279" s="52"/>
    </row>
    <row r="280" spans="17:19" x14ac:dyDescent="0.3">
      <c r="Q280" s="52"/>
      <c r="S280" s="52"/>
    </row>
    <row r="281" spans="17:19" x14ac:dyDescent="0.3">
      <c r="Q281" s="52"/>
      <c r="S281" s="52"/>
    </row>
    <row r="282" spans="17:19" x14ac:dyDescent="0.3">
      <c r="Q282" s="52"/>
      <c r="S282" s="52"/>
    </row>
    <row r="283" spans="17:19" x14ac:dyDescent="0.3">
      <c r="Q283" s="52"/>
      <c r="S283" s="52"/>
    </row>
    <row r="284" spans="17:19" x14ac:dyDescent="0.3">
      <c r="Q284" s="52"/>
      <c r="S284" s="52"/>
    </row>
    <row r="285" spans="17:19" x14ac:dyDescent="0.3">
      <c r="Q285" s="52"/>
      <c r="S285" s="52"/>
    </row>
    <row r="286" spans="17:19" x14ac:dyDescent="0.3">
      <c r="Q286" s="52"/>
      <c r="S286" s="52"/>
    </row>
    <row r="287" spans="17:19" x14ac:dyDescent="0.3">
      <c r="Q287" s="52"/>
      <c r="S287" s="52"/>
    </row>
    <row r="288" spans="17:19" x14ac:dyDescent="0.3">
      <c r="Q288" s="52"/>
      <c r="S288" s="52"/>
    </row>
    <row r="289" spans="17:19" x14ac:dyDescent="0.3">
      <c r="Q289" s="52"/>
      <c r="S289" s="52"/>
    </row>
    <row r="290" spans="17:19" x14ac:dyDescent="0.3">
      <c r="Q290" s="52"/>
      <c r="S290" s="52"/>
    </row>
    <row r="291" spans="17:19" x14ac:dyDescent="0.3">
      <c r="Q291" s="52"/>
      <c r="S291" s="52"/>
    </row>
    <row r="292" spans="17:19" x14ac:dyDescent="0.3">
      <c r="Q292" s="52"/>
      <c r="S292" s="52"/>
    </row>
    <row r="293" spans="17:19" x14ac:dyDescent="0.3">
      <c r="Q293" s="52"/>
      <c r="S293" s="52"/>
    </row>
    <row r="294" spans="17:19" x14ac:dyDescent="0.3">
      <c r="Q294" s="52"/>
      <c r="S294" s="52"/>
    </row>
    <row r="295" spans="17:19" x14ac:dyDescent="0.3">
      <c r="Q295" s="52"/>
      <c r="S295" s="52"/>
    </row>
    <row r="296" spans="17:19" x14ac:dyDescent="0.3">
      <c r="Q296" s="52"/>
      <c r="S296" s="52"/>
    </row>
    <row r="297" spans="17:19" x14ac:dyDescent="0.3">
      <c r="Q297" s="52"/>
      <c r="S297" s="52"/>
    </row>
    <row r="298" spans="17:19" x14ac:dyDescent="0.3">
      <c r="Q298" s="52"/>
      <c r="S298" s="52"/>
    </row>
    <row r="299" spans="17:19" x14ac:dyDescent="0.3">
      <c r="Q299" s="52"/>
      <c r="S299" s="52"/>
    </row>
    <row r="300" spans="17:19" x14ac:dyDescent="0.3">
      <c r="Q300" s="52"/>
      <c r="S300" s="52"/>
    </row>
    <row r="301" spans="17:19" x14ac:dyDescent="0.3">
      <c r="Q301" s="52"/>
      <c r="S301" s="52"/>
    </row>
    <row r="302" spans="17:19" x14ac:dyDescent="0.3">
      <c r="Q302" s="52"/>
      <c r="S302" s="52"/>
    </row>
    <row r="303" spans="17:19" x14ac:dyDescent="0.3">
      <c r="Q303" s="52"/>
      <c r="S303" s="52"/>
    </row>
    <row r="304" spans="17:19" x14ac:dyDescent="0.3">
      <c r="Q304" s="52"/>
      <c r="S304" s="52"/>
    </row>
    <row r="305" spans="17:19" x14ac:dyDescent="0.3">
      <c r="Q305" s="52"/>
      <c r="S305" s="52"/>
    </row>
    <row r="306" spans="17:19" x14ac:dyDescent="0.3">
      <c r="Q306" s="52"/>
      <c r="S306" s="52"/>
    </row>
    <row r="307" spans="17:19" x14ac:dyDescent="0.3">
      <c r="Q307" s="52"/>
      <c r="S307" s="52"/>
    </row>
    <row r="308" spans="17:19" x14ac:dyDescent="0.3">
      <c r="Q308" s="52"/>
      <c r="S308" s="52"/>
    </row>
    <row r="309" spans="17:19" x14ac:dyDescent="0.3">
      <c r="Q309" s="52"/>
      <c r="S309" s="52"/>
    </row>
    <row r="310" spans="17:19" x14ac:dyDescent="0.3">
      <c r="Q310" s="52"/>
      <c r="S310" s="52"/>
    </row>
    <row r="311" spans="17:19" x14ac:dyDescent="0.3">
      <c r="Q311" s="52"/>
      <c r="S311" s="52"/>
    </row>
    <row r="312" spans="17:19" x14ac:dyDescent="0.3">
      <c r="Q312" s="52"/>
      <c r="S312" s="52"/>
    </row>
    <row r="313" spans="17:19" x14ac:dyDescent="0.3">
      <c r="Q313" s="52"/>
      <c r="S313" s="52"/>
    </row>
    <row r="314" spans="17:19" x14ac:dyDescent="0.3">
      <c r="Q314" s="52"/>
      <c r="S314" s="52"/>
    </row>
    <row r="315" spans="17:19" x14ac:dyDescent="0.3">
      <c r="Q315" s="52"/>
      <c r="S315" s="52"/>
    </row>
    <row r="316" spans="17:19" x14ac:dyDescent="0.3">
      <c r="Q316" s="52"/>
      <c r="S316" s="52"/>
    </row>
    <row r="317" spans="17:19" x14ac:dyDescent="0.3">
      <c r="Q317" s="52"/>
      <c r="S317" s="52"/>
    </row>
    <row r="318" spans="17:19" x14ac:dyDescent="0.3">
      <c r="Q318" s="52"/>
      <c r="S318" s="52"/>
    </row>
    <row r="319" spans="17:19" x14ac:dyDescent="0.3">
      <c r="Q319" s="52"/>
      <c r="S319" s="52"/>
    </row>
    <row r="320" spans="17:19" x14ac:dyDescent="0.3">
      <c r="Q320" s="52"/>
      <c r="S320" s="52"/>
    </row>
    <row r="321" spans="17:19" x14ac:dyDescent="0.3">
      <c r="Q321" s="52"/>
      <c r="S321" s="52"/>
    </row>
    <row r="322" spans="17:19" x14ac:dyDescent="0.3">
      <c r="Q322" s="52"/>
      <c r="S322" s="52"/>
    </row>
    <row r="323" spans="17:19" x14ac:dyDescent="0.3">
      <c r="Q323" s="52"/>
      <c r="S323" s="52"/>
    </row>
    <row r="324" spans="17:19" x14ac:dyDescent="0.3">
      <c r="Q324" s="52"/>
      <c r="S324" s="52"/>
    </row>
    <row r="325" spans="17:19" x14ac:dyDescent="0.3">
      <c r="Q325" s="52"/>
      <c r="S325" s="52"/>
    </row>
    <row r="326" spans="17:19" x14ac:dyDescent="0.3">
      <c r="Q326" s="52"/>
      <c r="S326" s="52"/>
    </row>
    <row r="327" spans="17:19" x14ac:dyDescent="0.3">
      <c r="Q327" s="52"/>
      <c r="S327" s="52"/>
    </row>
    <row r="328" spans="17:19" x14ac:dyDescent="0.3">
      <c r="Q328" s="52"/>
      <c r="S328" s="52"/>
    </row>
    <row r="329" spans="17:19" x14ac:dyDescent="0.3">
      <c r="Q329" s="52"/>
      <c r="S329" s="52"/>
    </row>
    <row r="330" spans="17:19" x14ac:dyDescent="0.3">
      <c r="Q330" s="52"/>
      <c r="S330" s="52"/>
    </row>
    <row r="331" spans="17:19" x14ac:dyDescent="0.3">
      <c r="Q331" s="52"/>
      <c r="S331" s="52"/>
    </row>
    <row r="332" spans="17:19" x14ac:dyDescent="0.3">
      <c r="Q332" s="52"/>
      <c r="S332" s="52"/>
    </row>
    <row r="333" spans="17:19" x14ac:dyDescent="0.3">
      <c r="Q333" s="52"/>
      <c r="S333" s="52"/>
    </row>
    <row r="334" spans="17:19" x14ac:dyDescent="0.3">
      <c r="Q334" s="52"/>
      <c r="S334" s="52"/>
    </row>
    <row r="335" spans="17:19" x14ac:dyDescent="0.3">
      <c r="Q335" s="52"/>
      <c r="S335" s="52"/>
    </row>
    <row r="336" spans="17:19" x14ac:dyDescent="0.3">
      <c r="Q336" s="52"/>
      <c r="S336" s="52"/>
    </row>
    <row r="337" spans="17:19" x14ac:dyDescent="0.3">
      <c r="Q337" s="52"/>
      <c r="S337" s="52"/>
    </row>
    <row r="338" spans="17:19" x14ac:dyDescent="0.3">
      <c r="Q338" s="52"/>
      <c r="S338" s="52"/>
    </row>
    <row r="339" spans="17:19" x14ac:dyDescent="0.3">
      <c r="Q339" s="52"/>
      <c r="S339" s="52"/>
    </row>
    <row r="340" spans="17:19" x14ac:dyDescent="0.3">
      <c r="Q340" s="52"/>
      <c r="S340" s="52"/>
    </row>
    <row r="341" spans="17:19" x14ac:dyDescent="0.3">
      <c r="Q341" s="52"/>
      <c r="S341" s="52"/>
    </row>
    <row r="342" spans="17:19" x14ac:dyDescent="0.3">
      <c r="Q342" s="52"/>
      <c r="S342" s="52"/>
    </row>
    <row r="343" spans="17:19" x14ac:dyDescent="0.3">
      <c r="Q343" s="52"/>
      <c r="S343" s="52"/>
    </row>
    <row r="344" spans="17:19" x14ac:dyDescent="0.3">
      <c r="Q344" s="52"/>
      <c r="S344" s="52"/>
    </row>
    <row r="345" spans="17:19" x14ac:dyDescent="0.3">
      <c r="Q345" s="52"/>
      <c r="S345" s="52"/>
    </row>
    <row r="346" spans="17:19" x14ac:dyDescent="0.3">
      <c r="Q346" s="52"/>
      <c r="S346" s="52"/>
    </row>
    <row r="347" spans="17:19" x14ac:dyDescent="0.3">
      <c r="Q347" s="52"/>
      <c r="S347" s="52"/>
    </row>
    <row r="348" spans="17:19" x14ac:dyDescent="0.3">
      <c r="Q348" s="52"/>
      <c r="S348" s="52"/>
    </row>
    <row r="349" spans="17:19" x14ac:dyDescent="0.3">
      <c r="Q349" s="52"/>
      <c r="S349" s="52"/>
    </row>
    <row r="350" spans="17:19" x14ac:dyDescent="0.3">
      <c r="Q350" s="52"/>
      <c r="S350" s="52"/>
    </row>
    <row r="351" spans="17:19" x14ac:dyDescent="0.3">
      <c r="Q351" s="52"/>
      <c r="S351" s="52"/>
    </row>
    <row r="352" spans="17:19" x14ac:dyDescent="0.3">
      <c r="Q352" s="52"/>
      <c r="S352" s="52"/>
    </row>
    <row r="353" spans="17:19" x14ac:dyDescent="0.3">
      <c r="Q353" s="52"/>
      <c r="S353" s="52"/>
    </row>
    <row r="354" spans="17:19" x14ac:dyDescent="0.3">
      <c r="Q354" s="52"/>
      <c r="S354" s="52"/>
    </row>
    <row r="355" spans="17:19" x14ac:dyDescent="0.3">
      <c r="Q355" s="52"/>
      <c r="S355" s="52"/>
    </row>
    <row r="356" spans="17:19" x14ac:dyDescent="0.3">
      <c r="Q356" s="52"/>
      <c r="S356" s="52"/>
    </row>
    <row r="357" spans="17:19" x14ac:dyDescent="0.3">
      <c r="Q357" s="52"/>
      <c r="S357" s="52"/>
    </row>
    <row r="358" spans="17:19" x14ac:dyDescent="0.3">
      <c r="Q358" s="52"/>
      <c r="S358" s="52"/>
    </row>
    <row r="359" spans="17:19" x14ac:dyDescent="0.3">
      <c r="Q359" s="52"/>
      <c r="S359" s="52"/>
    </row>
    <row r="360" spans="17:19" x14ac:dyDescent="0.3">
      <c r="Q360" s="52"/>
      <c r="S360" s="52"/>
    </row>
    <row r="361" spans="17:19" x14ac:dyDescent="0.3">
      <c r="Q361" s="52"/>
      <c r="S361" s="52"/>
    </row>
    <row r="362" spans="17:19" x14ac:dyDescent="0.3">
      <c r="Q362" s="52"/>
      <c r="S362" s="52"/>
    </row>
    <row r="363" spans="17:19" x14ac:dyDescent="0.3">
      <c r="Q363" s="52"/>
      <c r="S363" s="52"/>
    </row>
    <row r="364" spans="17:19" x14ac:dyDescent="0.3">
      <c r="Q364" s="52"/>
      <c r="S364" s="52"/>
    </row>
    <row r="365" spans="17:19" x14ac:dyDescent="0.3">
      <c r="Q365" s="52"/>
      <c r="S365" s="52"/>
    </row>
    <row r="366" spans="17:19" x14ac:dyDescent="0.3">
      <c r="Q366" s="52"/>
      <c r="S366" s="52"/>
    </row>
    <row r="367" spans="17:19" x14ac:dyDescent="0.3">
      <c r="Q367" s="52"/>
      <c r="S367" s="52"/>
    </row>
    <row r="368" spans="17:19" x14ac:dyDescent="0.3">
      <c r="Q368" s="52"/>
      <c r="S368" s="52"/>
    </row>
    <row r="369" spans="17:19" x14ac:dyDescent="0.3">
      <c r="Q369" s="52"/>
      <c r="S369" s="52"/>
    </row>
    <row r="370" spans="17:19" x14ac:dyDescent="0.3">
      <c r="Q370" s="52"/>
      <c r="S370" s="52"/>
    </row>
    <row r="371" spans="17:19" x14ac:dyDescent="0.3">
      <c r="Q371" s="52"/>
      <c r="S371" s="52"/>
    </row>
    <row r="372" spans="17:19" x14ac:dyDescent="0.3">
      <c r="Q372" s="52"/>
      <c r="S372" s="52"/>
    </row>
    <row r="373" spans="17:19" x14ac:dyDescent="0.3">
      <c r="Q373" s="52"/>
      <c r="S373" s="52"/>
    </row>
    <row r="374" spans="17:19" x14ac:dyDescent="0.3">
      <c r="Q374" s="52"/>
      <c r="S374" s="52"/>
    </row>
    <row r="375" spans="17:19" x14ac:dyDescent="0.3">
      <c r="Q375" s="52"/>
      <c r="S375" s="52"/>
    </row>
    <row r="376" spans="17:19" x14ac:dyDescent="0.3">
      <c r="Q376" s="52"/>
      <c r="S376" s="52"/>
    </row>
    <row r="377" spans="17:19" x14ac:dyDescent="0.3">
      <c r="Q377" s="52"/>
      <c r="S377" s="52"/>
    </row>
    <row r="378" spans="17:19" x14ac:dyDescent="0.3">
      <c r="Q378" s="52"/>
      <c r="S378" s="52"/>
    </row>
    <row r="379" spans="17:19" x14ac:dyDescent="0.3">
      <c r="Q379" s="52"/>
      <c r="S379" s="52"/>
    </row>
    <row r="380" spans="17:19" x14ac:dyDescent="0.3">
      <c r="Q380" s="52"/>
      <c r="S380" s="52"/>
    </row>
    <row r="381" spans="17:19" x14ac:dyDescent="0.3">
      <c r="Q381" s="52"/>
      <c r="S381" s="52"/>
    </row>
    <row r="382" spans="17:19" x14ac:dyDescent="0.3">
      <c r="Q382" s="52"/>
      <c r="S382" s="52"/>
    </row>
    <row r="383" spans="17:19" x14ac:dyDescent="0.3">
      <c r="Q383" s="52"/>
      <c r="S383" s="52"/>
    </row>
    <row r="384" spans="17:19" x14ac:dyDescent="0.3">
      <c r="Q384" s="52"/>
      <c r="S384" s="52"/>
    </row>
    <row r="385" spans="17:19" x14ac:dyDescent="0.3">
      <c r="Q385" s="52"/>
      <c r="S385" s="52"/>
    </row>
    <row r="386" spans="17:19" x14ac:dyDescent="0.3">
      <c r="Q386" s="52"/>
      <c r="S386" s="52"/>
    </row>
    <row r="387" spans="17:19" x14ac:dyDescent="0.3">
      <c r="Q387" s="52"/>
      <c r="S387" s="52"/>
    </row>
    <row r="388" spans="17:19" x14ac:dyDescent="0.3">
      <c r="Q388" s="52"/>
      <c r="S388" s="52"/>
    </row>
    <row r="389" spans="17:19" x14ac:dyDescent="0.3">
      <c r="Q389" s="52"/>
      <c r="S389" s="52"/>
    </row>
    <row r="390" spans="17:19" x14ac:dyDescent="0.3">
      <c r="Q390" s="52"/>
      <c r="S390" s="52"/>
    </row>
    <row r="391" spans="17:19" x14ac:dyDescent="0.3">
      <c r="Q391" s="52"/>
      <c r="S391" s="52"/>
    </row>
    <row r="392" spans="17:19" x14ac:dyDescent="0.3">
      <c r="Q392" s="52"/>
      <c r="S392" s="52"/>
    </row>
    <row r="393" spans="17:19" x14ac:dyDescent="0.3">
      <c r="Q393" s="52"/>
      <c r="S393" s="52"/>
    </row>
    <row r="394" spans="17:19" x14ac:dyDescent="0.3">
      <c r="Q394" s="52"/>
      <c r="S394" s="52"/>
    </row>
    <row r="395" spans="17:19" x14ac:dyDescent="0.3">
      <c r="Q395" s="52"/>
      <c r="S395" s="52"/>
    </row>
    <row r="396" spans="17:19" x14ac:dyDescent="0.3">
      <c r="Q396" s="52"/>
      <c r="S396" s="52"/>
    </row>
    <row r="397" spans="17:19" x14ac:dyDescent="0.3">
      <c r="Q397" s="52"/>
      <c r="S397" s="52"/>
    </row>
    <row r="398" spans="17:19" x14ac:dyDescent="0.3">
      <c r="Q398" s="52"/>
      <c r="S398" s="52"/>
    </row>
    <row r="399" spans="17:19" x14ac:dyDescent="0.3">
      <c r="Q399" s="52"/>
      <c r="S399" s="52"/>
    </row>
    <row r="400" spans="17:19" x14ac:dyDescent="0.3">
      <c r="Q400" s="52"/>
      <c r="S400" s="52"/>
    </row>
    <row r="401" spans="17:19" x14ac:dyDescent="0.3">
      <c r="Q401" s="52"/>
      <c r="S401" s="52"/>
    </row>
    <row r="402" spans="17:19" x14ac:dyDescent="0.3">
      <c r="Q402" s="52"/>
      <c r="S402" s="52"/>
    </row>
    <row r="403" spans="17:19" x14ac:dyDescent="0.3">
      <c r="Q403" s="52"/>
      <c r="S403" s="52"/>
    </row>
    <row r="404" spans="17:19" x14ac:dyDescent="0.3">
      <c r="Q404" s="52"/>
      <c r="S404" s="52"/>
    </row>
    <row r="405" spans="17:19" x14ac:dyDescent="0.3">
      <c r="Q405" s="52"/>
      <c r="S405" s="52"/>
    </row>
    <row r="406" spans="17:19" x14ac:dyDescent="0.3">
      <c r="Q406" s="52"/>
      <c r="S406" s="52"/>
    </row>
    <row r="407" spans="17:19" x14ac:dyDescent="0.3">
      <c r="Q407" s="52"/>
      <c r="S407" s="52"/>
    </row>
    <row r="408" spans="17:19" x14ac:dyDescent="0.3">
      <c r="Q408" s="52"/>
      <c r="S408" s="52"/>
    </row>
    <row r="409" spans="17:19" x14ac:dyDescent="0.3">
      <c r="Q409" s="52"/>
      <c r="S409" s="52"/>
    </row>
    <row r="410" spans="17:19" x14ac:dyDescent="0.3">
      <c r="Q410" s="52"/>
      <c r="S410" s="52"/>
    </row>
    <row r="411" spans="17:19" x14ac:dyDescent="0.3">
      <c r="Q411" s="52"/>
      <c r="S411" s="52"/>
    </row>
    <row r="412" spans="17:19" x14ac:dyDescent="0.3">
      <c r="Q412" s="52"/>
      <c r="S412" s="52"/>
    </row>
    <row r="413" spans="17:19" x14ac:dyDescent="0.3">
      <c r="Q413" s="52"/>
      <c r="S413" s="52"/>
    </row>
    <row r="414" spans="17:19" x14ac:dyDescent="0.3">
      <c r="Q414" s="52"/>
      <c r="S414" s="52"/>
    </row>
    <row r="415" spans="17:19" x14ac:dyDescent="0.3">
      <c r="Q415" s="52"/>
      <c r="S415" s="52"/>
    </row>
    <row r="416" spans="17:19" x14ac:dyDescent="0.3">
      <c r="Q416" s="52"/>
      <c r="S416" s="52"/>
    </row>
    <row r="417" spans="17:19" x14ac:dyDescent="0.3">
      <c r="Q417" s="52"/>
      <c r="S417" s="52"/>
    </row>
    <row r="418" spans="17:19" x14ac:dyDescent="0.3">
      <c r="Q418" s="52"/>
      <c r="S418" s="52"/>
    </row>
    <row r="419" spans="17:19" x14ac:dyDescent="0.3">
      <c r="Q419" s="52"/>
      <c r="S419" s="52"/>
    </row>
    <row r="420" spans="17:19" x14ac:dyDescent="0.3">
      <c r="Q420" s="52"/>
      <c r="S420" s="52"/>
    </row>
    <row r="421" spans="17:19" x14ac:dyDescent="0.3">
      <c r="Q421" s="52"/>
      <c r="S421" s="52"/>
    </row>
    <row r="422" spans="17:19" x14ac:dyDescent="0.3">
      <c r="Q422" s="52"/>
      <c r="S422" s="52"/>
    </row>
    <row r="423" spans="17:19" x14ac:dyDescent="0.3">
      <c r="Q423" s="52"/>
      <c r="S423" s="52"/>
    </row>
    <row r="424" spans="17:19" x14ac:dyDescent="0.3">
      <c r="Q424" s="52"/>
      <c r="S424" s="52"/>
    </row>
    <row r="425" spans="17:19" x14ac:dyDescent="0.3">
      <c r="Q425" s="52"/>
      <c r="S425" s="52"/>
    </row>
    <row r="426" spans="17:19" x14ac:dyDescent="0.3">
      <c r="Q426" s="52"/>
      <c r="S426" s="52"/>
    </row>
    <row r="427" spans="17:19" x14ac:dyDescent="0.3">
      <c r="Q427" s="52"/>
      <c r="S427" s="52"/>
    </row>
    <row r="428" spans="17:19" x14ac:dyDescent="0.3">
      <c r="Q428" s="52"/>
      <c r="S428" s="52"/>
    </row>
    <row r="429" spans="17:19" x14ac:dyDescent="0.3">
      <c r="Q429" s="52"/>
      <c r="S429" s="52"/>
    </row>
    <row r="430" spans="17:19" x14ac:dyDescent="0.3">
      <c r="Q430" s="52"/>
      <c r="S430" s="52"/>
    </row>
    <row r="431" spans="17:19" x14ac:dyDescent="0.3">
      <c r="Q431" s="52"/>
      <c r="S431" s="52"/>
    </row>
    <row r="432" spans="17:19" x14ac:dyDescent="0.3">
      <c r="Q432" s="52"/>
      <c r="S432" s="52"/>
    </row>
    <row r="433" spans="17:19" x14ac:dyDescent="0.3">
      <c r="Q433" s="52"/>
      <c r="S433" s="52"/>
    </row>
    <row r="434" spans="17:19" x14ac:dyDescent="0.3">
      <c r="Q434" s="52"/>
      <c r="S434" s="52"/>
    </row>
    <row r="435" spans="17:19" x14ac:dyDescent="0.3">
      <c r="Q435" s="52"/>
      <c r="S435" s="52"/>
    </row>
    <row r="436" spans="17:19" x14ac:dyDescent="0.3">
      <c r="Q436" s="52"/>
      <c r="S436" s="52"/>
    </row>
    <row r="437" spans="17:19" x14ac:dyDescent="0.3">
      <c r="Q437" s="52"/>
      <c r="S437" s="52"/>
    </row>
    <row r="438" spans="17:19" x14ac:dyDescent="0.3">
      <c r="Q438" s="52"/>
      <c r="S438" s="52"/>
    </row>
    <row r="439" spans="17:19" x14ac:dyDescent="0.3">
      <c r="Q439" s="52"/>
      <c r="S439" s="52"/>
    </row>
    <row r="440" spans="17:19" x14ac:dyDescent="0.3">
      <c r="Q440" s="52"/>
      <c r="S440" s="52"/>
    </row>
    <row r="441" spans="17:19" x14ac:dyDescent="0.3">
      <c r="Q441" s="52"/>
      <c r="S441" s="52"/>
    </row>
    <row r="442" spans="17:19" x14ac:dyDescent="0.3">
      <c r="Q442" s="52"/>
      <c r="S442" s="52"/>
    </row>
    <row r="443" spans="17:19" x14ac:dyDescent="0.3">
      <c r="Q443" s="52"/>
      <c r="S443" s="52"/>
    </row>
    <row r="444" spans="17:19" x14ac:dyDescent="0.3">
      <c r="Q444" s="52"/>
      <c r="S444" s="52"/>
    </row>
    <row r="445" spans="17:19" x14ac:dyDescent="0.3">
      <c r="Q445" s="52"/>
      <c r="S445" s="52"/>
    </row>
    <row r="446" spans="17:19" x14ac:dyDescent="0.3">
      <c r="Q446" s="52"/>
      <c r="S446" s="52"/>
    </row>
    <row r="447" spans="17:19" x14ac:dyDescent="0.3">
      <c r="Q447" s="52"/>
      <c r="S447" s="52"/>
    </row>
    <row r="448" spans="17:19" x14ac:dyDescent="0.3">
      <c r="Q448" s="52"/>
      <c r="S448" s="52"/>
    </row>
    <row r="449" spans="17:19" x14ac:dyDescent="0.3">
      <c r="Q449" s="52"/>
      <c r="S449" s="52"/>
    </row>
    <row r="450" spans="17:19" x14ac:dyDescent="0.3">
      <c r="Q450" s="52"/>
      <c r="S450" s="52"/>
    </row>
    <row r="451" spans="17:19" x14ac:dyDescent="0.3">
      <c r="Q451" s="52"/>
      <c r="S451" s="52"/>
    </row>
    <row r="452" spans="17:19" x14ac:dyDescent="0.3">
      <c r="Q452" s="52"/>
      <c r="S452" s="52"/>
    </row>
    <row r="453" spans="17:19" x14ac:dyDescent="0.3">
      <c r="Q453" s="52"/>
      <c r="S453" s="52"/>
    </row>
    <row r="454" spans="17:19" x14ac:dyDescent="0.3">
      <c r="Q454" s="52"/>
      <c r="S454" s="52"/>
    </row>
    <row r="455" spans="17:19" x14ac:dyDescent="0.3">
      <c r="Q455" s="52"/>
      <c r="S455" s="52"/>
    </row>
    <row r="456" spans="17:19" x14ac:dyDescent="0.3">
      <c r="Q456" s="52"/>
      <c r="S456" s="52"/>
    </row>
    <row r="457" spans="17:19" x14ac:dyDescent="0.3">
      <c r="Q457" s="52"/>
      <c r="S457" s="52"/>
    </row>
    <row r="458" spans="17:19" x14ac:dyDescent="0.3">
      <c r="Q458" s="52"/>
      <c r="S458" s="52"/>
    </row>
    <row r="459" spans="17:19" x14ac:dyDescent="0.3">
      <c r="Q459" s="52"/>
      <c r="S459" s="52"/>
    </row>
    <row r="460" spans="17:19" x14ac:dyDescent="0.3">
      <c r="Q460" s="52"/>
      <c r="S460" s="52"/>
    </row>
    <row r="461" spans="17:19" x14ac:dyDescent="0.3">
      <c r="Q461" s="52"/>
      <c r="S461" s="52"/>
    </row>
    <row r="462" spans="17:19" x14ac:dyDescent="0.3">
      <c r="Q462" s="52"/>
      <c r="S462" s="52"/>
    </row>
    <row r="463" spans="17:19" x14ac:dyDescent="0.3">
      <c r="Q463" s="52"/>
      <c r="S463" s="52"/>
    </row>
    <row r="464" spans="17:19" x14ac:dyDescent="0.3">
      <c r="Q464" s="52"/>
      <c r="S464" s="52"/>
    </row>
    <row r="465" spans="17:19" x14ac:dyDescent="0.3">
      <c r="Q465" s="52"/>
      <c r="S465" s="52"/>
    </row>
    <row r="466" spans="17:19" x14ac:dyDescent="0.3">
      <c r="Q466" s="52"/>
      <c r="S466" s="52"/>
    </row>
    <row r="467" spans="17:19" x14ac:dyDescent="0.3">
      <c r="Q467" s="52"/>
      <c r="S467" s="52"/>
    </row>
    <row r="468" spans="17:19" x14ac:dyDescent="0.3">
      <c r="Q468" s="52"/>
      <c r="S468" s="52"/>
    </row>
    <row r="469" spans="17:19" x14ac:dyDescent="0.3">
      <c r="Q469" s="52"/>
      <c r="S469" s="52"/>
    </row>
    <row r="470" spans="17:19" x14ac:dyDescent="0.3">
      <c r="Q470" s="52"/>
      <c r="S470" s="52"/>
    </row>
    <row r="471" spans="17:19" x14ac:dyDescent="0.3">
      <c r="Q471" s="52"/>
      <c r="S471" s="52"/>
    </row>
    <row r="472" spans="17:19" x14ac:dyDescent="0.3">
      <c r="Q472" s="52"/>
      <c r="S472" s="52"/>
    </row>
    <row r="473" spans="17:19" x14ac:dyDescent="0.3">
      <c r="Q473" s="52"/>
      <c r="S473" s="52"/>
    </row>
    <row r="474" spans="17:19" x14ac:dyDescent="0.3">
      <c r="Q474" s="52"/>
      <c r="S474" s="52"/>
    </row>
    <row r="475" spans="17:19" x14ac:dyDescent="0.3">
      <c r="Q475" s="52"/>
      <c r="S475" s="52"/>
    </row>
    <row r="476" spans="17:19" x14ac:dyDescent="0.3">
      <c r="Q476" s="52"/>
      <c r="S476" s="52"/>
    </row>
    <row r="477" spans="17:19" x14ac:dyDescent="0.3">
      <c r="Q477" s="52"/>
      <c r="S477" s="52"/>
    </row>
    <row r="478" spans="17:19" x14ac:dyDescent="0.3">
      <c r="Q478" s="52"/>
      <c r="S478" s="52"/>
    </row>
    <row r="479" spans="17:19" x14ac:dyDescent="0.3">
      <c r="Q479" s="52"/>
      <c r="S479" s="52"/>
    </row>
    <row r="480" spans="17:19" x14ac:dyDescent="0.3">
      <c r="Q480" s="52"/>
      <c r="S480" s="52"/>
    </row>
    <row r="481" spans="17:19" x14ac:dyDescent="0.3">
      <c r="Q481" s="52"/>
      <c r="S481" s="52"/>
    </row>
    <row r="482" spans="17:19" x14ac:dyDescent="0.3">
      <c r="Q482" s="52"/>
      <c r="S482" s="52"/>
    </row>
    <row r="483" spans="17:19" x14ac:dyDescent="0.3">
      <c r="Q483" s="52"/>
      <c r="S483" s="52"/>
    </row>
    <row r="484" spans="17:19" x14ac:dyDescent="0.3">
      <c r="Q484" s="52"/>
      <c r="S484" s="52"/>
    </row>
    <row r="485" spans="17:19" x14ac:dyDescent="0.3">
      <c r="Q485" s="52"/>
      <c r="S485" s="52"/>
    </row>
    <row r="486" spans="17:19" x14ac:dyDescent="0.3">
      <c r="Q486" s="52"/>
      <c r="S486" s="52"/>
    </row>
    <row r="487" spans="17:19" x14ac:dyDescent="0.3">
      <c r="Q487" s="52"/>
      <c r="S487" s="52"/>
    </row>
    <row r="488" spans="17:19" x14ac:dyDescent="0.3">
      <c r="Q488" s="52"/>
      <c r="S488" s="52"/>
    </row>
    <row r="489" spans="17:19" x14ac:dyDescent="0.3">
      <c r="Q489" s="52"/>
      <c r="S489" s="52"/>
    </row>
    <row r="490" spans="17:19" x14ac:dyDescent="0.3">
      <c r="Q490" s="52"/>
      <c r="S490" s="52"/>
    </row>
    <row r="491" spans="17:19" x14ac:dyDescent="0.3">
      <c r="Q491" s="52"/>
      <c r="S491" s="52"/>
    </row>
    <row r="492" spans="17:19" x14ac:dyDescent="0.3">
      <c r="Q492" s="52"/>
      <c r="S492" s="52"/>
    </row>
    <row r="493" spans="17:19" x14ac:dyDescent="0.3">
      <c r="Q493" s="52"/>
      <c r="S493" s="52"/>
    </row>
    <row r="494" spans="17:19" x14ac:dyDescent="0.3">
      <c r="Q494" s="52"/>
      <c r="S494" s="52"/>
    </row>
    <row r="495" spans="17:19" x14ac:dyDescent="0.3">
      <c r="Q495" s="52"/>
      <c r="S495" s="52"/>
    </row>
    <row r="496" spans="17:19" x14ac:dyDescent="0.3">
      <c r="Q496" s="52"/>
      <c r="S496" s="52"/>
    </row>
    <row r="497" spans="17:19" x14ac:dyDescent="0.3">
      <c r="Q497" s="52"/>
      <c r="S497" s="52"/>
    </row>
    <row r="498" spans="17:19" x14ac:dyDescent="0.3">
      <c r="Q498" s="52"/>
      <c r="S498" s="52"/>
    </row>
    <row r="499" spans="17:19" x14ac:dyDescent="0.3">
      <c r="Q499" s="52"/>
      <c r="S499" s="52"/>
    </row>
    <row r="500" spans="17:19" x14ac:dyDescent="0.3">
      <c r="Q500" s="52"/>
      <c r="S500" s="52"/>
    </row>
    <row r="501" spans="17:19" x14ac:dyDescent="0.3">
      <c r="Q501" s="52"/>
      <c r="S501" s="52"/>
    </row>
    <row r="502" spans="17:19" x14ac:dyDescent="0.3">
      <c r="Q502" s="52"/>
      <c r="S502" s="52"/>
    </row>
    <row r="503" spans="17:19" x14ac:dyDescent="0.3">
      <c r="Q503" s="52"/>
      <c r="S503" s="52"/>
    </row>
    <row r="504" spans="17:19" x14ac:dyDescent="0.3">
      <c r="Q504" s="52"/>
      <c r="S504" s="52"/>
    </row>
    <row r="505" spans="17:19" x14ac:dyDescent="0.3">
      <c r="Q505" s="52"/>
      <c r="S505" s="52"/>
    </row>
    <row r="506" spans="17:19" x14ac:dyDescent="0.3">
      <c r="Q506" s="52"/>
      <c r="S506" s="52"/>
    </row>
    <row r="507" spans="17:19" x14ac:dyDescent="0.3">
      <c r="Q507" s="52"/>
      <c r="S507" s="52"/>
    </row>
    <row r="508" spans="17:19" x14ac:dyDescent="0.3">
      <c r="Q508" s="52"/>
      <c r="S508" s="52"/>
    </row>
    <row r="509" spans="17:19" x14ac:dyDescent="0.3">
      <c r="Q509" s="52"/>
      <c r="S509" s="52"/>
    </row>
    <row r="510" spans="17:19" x14ac:dyDescent="0.3">
      <c r="Q510" s="52"/>
      <c r="S510" s="52"/>
    </row>
    <row r="511" spans="17:19" x14ac:dyDescent="0.3">
      <c r="Q511" s="52"/>
      <c r="S511" s="52"/>
    </row>
    <row r="512" spans="17:19" x14ac:dyDescent="0.3">
      <c r="Q512" s="52"/>
      <c r="S512" s="52"/>
    </row>
    <row r="513" spans="17:19" x14ac:dyDescent="0.3">
      <c r="Q513" s="52"/>
      <c r="S513" s="52"/>
    </row>
    <row r="514" spans="17:19" x14ac:dyDescent="0.3">
      <c r="Q514" s="52"/>
      <c r="S514" s="52"/>
    </row>
    <row r="515" spans="17:19" x14ac:dyDescent="0.3">
      <c r="Q515" s="52"/>
      <c r="S515" s="52"/>
    </row>
    <row r="516" spans="17:19" x14ac:dyDescent="0.3">
      <c r="Q516" s="52"/>
      <c r="S516" s="52"/>
    </row>
    <row r="517" spans="17:19" x14ac:dyDescent="0.3">
      <c r="Q517" s="52"/>
      <c r="S517" s="52"/>
    </row>
    <row r="518" spans="17:19" x14ac:dyDescent="0.3">
      <c r="Q518" s="52"/>
      <c r="S518" s="52"/>
    </row>
    <row r="519" spans="17:19" x14ac:dyDescent="0.3">
      <c r="Q519" s="52"/>
      <c r="S519" s="52"/>
    </row>
    <row r="520" spans="17:19" x14ac:dyDescent="0.3">
      <c r="Q520" s="52"/>
      <c r="S520" s="52"/>
    </row>
    <row r="521" spans="17:19" x14ac:dyDescent="0.3">
      <c r="Q521" s="52"/>
      <c r="S521" s="52"/>
    </row>
    <row r="522" spans="17:19" x14ac:dyDescent="0.3">
      <c r="Q522" s="52"/>
      <c r="S522" s="52"/>
    </row>
    <row r="523" spans="17:19" x14ac:dyDescent="0.3">
      <c r="Q523" s="52"/>
      <c r="S523" s="52"/>
    </row>
    <row r="524" spans="17:19" x14ac:dyDescent="0.3">
      <c r="Q524" s="52"/>
      <c r="S524" s="52"/>
    </row>
    <row r="525" spans="17:19" x14ac:dyDescent="0.3">
      <c r="Q525" s="52"/>
      <c r="S525" s="52"/>
    </row>
    <row r="526" spans="17:19" x14ac:dyDescent="0.3">
      <c r="Q526" s="52"/>
      <c r="S526" s="52"/>
    </row>
    <row r="527" spans="17:19" x14ac:dyDescent="0.3">
      <c r="Q527" s="52"/>
      <c r="S527" s="52"/>
    </row>
    <row r="528" spans="17:19" x14ac:dyDescent="0.3">
      <c r="Q528" s="52"/>
      <c r="S528" s="52"/>
    </row>
    <row r="529" spans="17:19" x14ac:dyDescent="0.3">
      <c r="Q529" s="52"/>
      <c r="S529" s="52"/>
    </row>
    <row r="530" spans="17:19" x14ac:dyDescent="0.3">
      <c r="Q530" s="52"/>
      <c r="S530" s="52"/>
    </row>
    <row r="531" spans="17:19" x14ac:dyDescent="0.3">
      <c r="Q531" s="52"/>
      <c r="S531" s="52"/>
    </row>
    <row r="532" spans="17:19" x14ac:dyDescent="0.3">
      <c r="Q532" s="52"/>
      <c r="S532" s="52"/>
    </row>
    <row r="533" spans="17:19" x14ac:dyDescent="0.3">
      <c r="Q533" s="52"/>
      <c r="S533" s="52"/>
    </row>
    <row r="534" spans="17:19" x14ac:dyDescent="0.3">
      <c r="Q534" s="52"/>
      <c r="S534" s="52"/>
    </row>
    <row r="535" spans="17:19" x14ac:dyDescent="0.3">
      <c r="Q535" s="52"/>
      <c r="S535" s="52"/>
    </row>
    <row r="536" spans="17:19" x14ac:dyDescent="0.3">
      <c r="Q536" s="52"/>
      <c r="S536" s="52"/>
    </row>
    <row r="537" spans="17:19" x14ac:dyDescent="0.3">
      <c r="Q537" s="52"/>
      <c r="S537" s="52"/>
    </row>
    <row r="538" spans="17:19" x14ac:dyDescent="0.3">
      <c r="Q538" s="52"/>
      <c r="S538" s="52"/>
    </row>
    <row r="539" spans="17:19" x14ac:dyDescent="0.3">
      <c r="Q539" s="52"/>
      <c r="S539" s="52"/>
    </row>
    <row r="540" spans="17:19" x14ac:dyDescent="0.3">
      <c r="Q540" s="52"/>
      <c r="S540" s="52"/>
    </row>
    <row r="541" spans="17:19" x14ac:dyDescent="0.3">
      <c r="Q541" s="52"/>
      <c r="S541" s="52"/>
    </row>
    <row r="542" spans="17:19" x14ac:dyDescent="0.3">
      <c r="Q542" s="52"/>
      <c r="S542" s="52"/>
    </row>
    <row r="543" spans="17:19" x14ac:dyDescent="0.3">
      <c r="Q543" s="52"/>
      <c r="S543" s="52"/>
    </row>
    <row r="544" spans="17:19" x14ac:dyDescent="0.3">
      <c r="Q544" s="52"/>
      <c r="S544" s="52"/>
    </row>
    <row r="545" spans="17:19" x14ac:dyDescent="0.3">
      <c r="Q545" s="52"/>
      <c r="S545" s="52"/>
    </row>
    <row r="546" spans="17:19" x14ac:dyDescent="0.3">
      <c r="Q546" s="52"/>
      <c r="S546" s="52"/>
    </row>
    <row r="547" spans="17:19" x14ac:dyDescent="0.3">
      <c r="Q547" s="52"/>
      <c r="S547" s="52"/>
    </row>
    <row r="548" spans="17:19" x14ac:dyDescent="0.3">
      <c r="Q548" s="52"/>
      <c r="S548" s="52"/>
    </row>
    <row r="549" spans="17:19" x14ac:dyDescent="0.3">
      <c r="Q549" s="52"/>
      <c r="S549" s="52"/>
    </row>
    <row r="550" spans="17:19" x14ac:dyDescent="0.3">
      <c r="Q550" s="52"/>
      <c r="S550" s="52"/>
    </row>
    <row r="551" spans="17:19" x14ac:dyDescent="0.3">
      <c r="Q551" s="52"/>
      <c r="S551" s="52"/>
    </row>
    <row r="552" spans="17:19" x14ac:dyDescent="0.3">
      <c r="Q552" s="52"/>
      <c r="S552" s="52"/>
    </row>
    <row r="553" spans="17:19" x14ac:dyDescent="0.3">
      <c r="Q553" s="52"/>
      <c r="S553" s="52"/>
    </row>
    <row r="554" spans="17:19" x14ac:dyDescent="0.3">
      <c r="Q554" s="52"/>
      <c r="S554" s="52"/>
    </row>
    <row r="555" spans="17:19" x14ac:dyDescent="0.3">
      <c r="Q555" s="52"/>
      <c r="S555" s="52"/>
    </row>
    <row r="556" spans="17:19" x14ac:dyDescent="0.3">
      <c r="Q556" s="52"/>
      <c r="S556" s="52"/>
    </row>
    <row r="557" spans="17:19" x14ac:dyDescent="0.3">
      <c r="Q557" s="52"/>
      <c r="S557" s="52"/>
    </row>
    <row r="558" spans="17:19" x14ac:dyDescent="0.3">
      <c r="Q558" s="52"/>
      <c r="S558" s="52"/>
    </row>
    <row r="559" spans="17:19" x14ac:dyDescent="0.3">
      <c r="Q559" s="52"/>
      <c r="S559" s="52"/>
    </row>
    <row r="560" spans="17:19" x14ac:dyDescent="0.3">
      <c r="Q560" s="52"/>
      <c r="S560" s="52"/>
    </row>
    <row r="561" spans="17:19" x14ac:dyDescent="0.3">
      <c r="Q561" s="52"/>
      <c r="S561" s="52"/>
    </row>
    <row r="562" spans="17:19" x14ac:dyDescent="0.3">
      <c r="Q562" s="52"/>
      <c r="S562" s="52"/>
    </row>
    <row r="563" spans="17:19" x14ac:dyDescent="0.3">
      <c r="Q563" s="52"/>
      <c r="S563" s="52"/>
    </row>
    <row r="564" spans="17:19" x14ac:dyDescent="0.3">
      <c r="Q564" s="52"/>
      <c r="S564" s="52"/>
    </row>
    <row r="565" spans="17:19" x14ac:dyDescent="0.3">
      <c r="Q565" s="52"/>
      <c r="S565" s="52"/>
    </row>
    <row r="566" spans="17:19" x14ac:dyDescent="0.3">
      <c r="Q566" s="52"/>
      <c r="S566" s="52"/>
    </row>
    <row r="567" spans="17:19" x14ac:dyDescent="0.3">
      <c r="Q567" s="52"/>
      <c r="S567" s="52"/>
    </row>
    <row r="568" spans="17:19" x14ac:dyDescent="0.3">
      <c r="Q568" s="52"/>
      <c r="S568" s="52"/>
    </row>
    <row r="569" spans="17:19" x14ac:dyDescent="0.3">
      <c r="Q569" s="52"/>
      <c r="S569" s="52"/>
    </row>
    <row r="570" spans="17:19" x14ac:dyDescent="0.3">
      <c r="Q570" s="52"/>
      <c r="S570" s="52"/>
    </row>
    <row r="571" spans="17:19" x14ac:dyDescent="0.3">
      <c r="Q571" s="52"/>
      <c r="S571" s="52"/>
    </row>
    <row r="572" spans="17:19" x14ac:dyDescent="0.3">
      <c r="Q572" s="52"/>
      <c r="S572" s="52"/>
    </row>
    <row r="573" spans="17:19" x14ac:dyDescent="0.3">
      <c r="Q573" s="52"/>
      <c r="S573" s="52"/>
    </row>
    <row r="574" spans="17:19" x14ac:dyDescent="0.3">
      <c r="Q574" s="52"/>
      <c r="S574" s="52"/>
    </row>
    <row r="575" spans="17:19" x14ac:dyDescent="0.3">
      <c r="Q575" s="52"/>
      <c r="S575" s="52"/>
    </row>
    <row r="576" spans="17:19" x14ac:dyDescent="0.3">
      <c r="Q576" s="52"/>
      <c r="S576" s="52"/>
    </row>
    <row r="577" spans="17:19" x14ac:dyDescent="0.3">
      <c r="Q577" s="52"/>
      <c r="S577" s="52"/>
    </row>
    <row r="578" spans="17:19" x14ac:dyDescent="0.3">
      <c r="Q578" s="52"/>
      <c r="S578" s="52"/>
    </row>
    <row r="579" spans="17:19" x14ac:dyDescent="0.3">
      <c r="Q579" s="52"/>
      <c r="S579" s="52"/>
    </row>
    <row r="580" spans="17:19" x14ac:dyDescent="0.3">
      <c r="Q580" s="52"/>
      <c r="S580" s="52"/>
    </row>
    <row r="581" spans="17:19" x14ac:dyDescent="0.3">
      <c r="Q581" s="52"/>
      <c r="S581" s="52"/>
    </row>
    <row r="582" spans="17:19" x14ac:dyDescent="0.3">
      <c r="Q582" s="52"/>
      <c r="S582" s="52"/>
    </row>
    <row r="583" spans="17:19" x14ac:dyDescent="0.3">
      <c r="Q583" s="52"/>
      <c r="S583" s="52"/>
    </row>
    <row r="584" spans="17:19" x14ac:dyDescent="0.3">
      <c r="Q584" s="52"/>
      <c r="S584" s="52"/>
    </row>
    <row r="585" spans="17:19" x14ac:dyDescent="0.3">
      <c r="Q585" s="52"/>
      <c r="S585" s="52"/>
    </row>
    <row r="586" spans="17:19" x14ac:dyDescent="0.3">
      <c r="Q586" s="52"/>
      <c r="S586" s="52"/>
    </row>
    <row r="587" spans="17:19" x14ac:dyDescent="0.3">
      <c r="Q587" s="52"/>
      <c r="S587" s="52"/>
    </row>
    <row r="588" spans="17:19" x14ac:dyDescent="0.3">
      <c r="Q588" s="52"/>
      <c r="S588" s="52"/>
    </row>
    <row r="589" spans="17:19" x14ac:dyDescent="0.3">
      <c r="Q589" s="52"/>
      <c r="S589" s="52"/>
    </row>
    <row r="590" spans="17:19" x14ac:dyDescent="0.3">
      <c r="Q590" s="52"/>
      <c r="S590" s="52"/>
    </row>
    <row r="591" spans="17:19" x14ac:dyDescent="0.3">
      <c r="Q591" s="52"/>
      <c r="S591" s="52"/>
    </row>
    <row r="592" spans="17:19" x14ac:dyDescent="0.3">
      <c r="Q592" s="52"/>
      <c r="S592" s="52"/>
    </row>
    <row r="593" spans="17:19" x14ac:dyDescent="0.3">
      <c r="Q593" s="52"/>
      <c r="S593" s="52"/>
    </row>
    <row r="594" spans="17:19" x14ac:dyDescent="0.3">
      <c r="Q594" s="52"/>
      <c r="S594" s="52"/>
    </row>
  </sheetData>
  <pageMargins left="0.7" right="0.7" top="0.75" bottom="0.75" header="0.3" footer="0.3"/>
  <pageSetup paperSize="9" orientation="portrait" horizontalDpi="4294967294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A141"/>
  <sheetViews>
    <sheetView zoomScaleNormal="100" workbookViewId="0">
      <selection activeCell="F39" sqref="F39"/>
    </sheetView>
  </sheetViews>
  <sheetFormatPr defaultRowHeight="14.4" x14ac:dyDescent="0.3"/>
  <cols>
    <col min="1" max="1" width="11.88671875" bestFit="1" customWidth="1"/>
    <col min="4" max="4" width="9" customWidth="1"/>
    <col min="5" max="5" width="8.88671875" customWidth="1"/>
  </cols>
  <sheetData>
    <row r="1" spans="1:313" x14ac:dyDescent="0.3">
      <c r="A1" s="4" t="s">
        <v>128</v>
      </c>
      <c r="B1" t="s">
        <v>121</v>
      </c>
      <c r="LA1" t="s">
        <v>121</v>
      </c>
    </row>
    <row r="3" spans="1:313" s="1" customFormat="1" x14ac:dyDescent="0.3">
      <c r="A3" s="1" t="s">
        <v>135</v>
      </c>
      <c r="B3" s="1" t="s">
        <v>193</v>
      </c>
    </row>
    <row r="4" spans="1:313" s="1" customFormat="1" x14ac:dyDescent="0.3">
      <c r="B4" s="17" t="s">
        <v>144</v>
      </c>
      <c r="C4" s="1" t="s">
        <v>195</v>
      </c>
      <c r="D4" s="1" t="s">
        <v>132</v>
      </c>
      <c r="E4" s="17" t="s">
        <v>133</v>
      </c>
      <c r="F4" s="17" t="s">
        <v>141</v>
      </c>
      <c r="G4" s="17" t="s">
        <v>153</v>
      </c>
      <c r="H4" s="17" t="s">
        <v>158</v>
      </c>
      <c r="I4" s="17" t="s">
        <v>161</v>
      </c>
      <c r="J4" s="17"/>
    </row>
    <row r="5" spans="1:313" x14ac:dyDescent="0.3">
      <c r="A5" s="16" t="s">
        <v>180</v>
      </c>
      <c r="B5" s="16">
        <f ca="1">IFERROR(
 SUMPRODUCT(($B$1&lt;&gt;"")*(GameListChampion=$B$1)*(GameListRole=$A5)*(OR(GameListModeLastGames="Normal",GameListModeLastGames="Ranked"))),0
)</f>
        <v>0</v>
      </c>
      <c r="C5" s="18">
        <f ca="1">IFERROR(B5/SUM($B$5:$B$9),0)</f>
        <v>0</v>
      </c>
      <c r="D5" s="18">
        <f ca="1">IFERROR(
 SUMPRODUCT((GameListChampion=$B$1)*GameListWinLoss*(OR(GameListModeLastGames="Normal",GameListModeLastGames="Ranked"))*(GameListRole=$A5))/$B5,0
)</f>
        <v>0</v>
      </c>
      <c r="E5" s="19" t="str">
        <f ca="1">IFERROR(
 CONCATENATE(
  ROUND(
   SUMPRODUCT(
    (GameListChampion=$B$1)*(GameListRole=$A5)*(OR(GameListMode="Normal",GameListMode="Ranked"))*((GameListKills+GameListAssists)
    /
    IF(
     SUMPRODUCT(
      (GameListChampion=$B$1)*(GameListRole=$A5)*(OR(GameListMode="Normal",GameListMode="Ranked"))*GameListDeaths
      )=0,1,SUMPRODUCT(
      (GameListChampion=$B$1)*(GameListRole=$A5)*(OR(GameListMode="Normal",GameListMode="Ranked"))*GameListDeaths)
     )
    )
   ),2
  )," (",
  ROUND(
   SUMPRODUCT(
    (GameListChampionLastGames=$B$1)*(GameListRoleLastGames=$A5)*(OR(GameListModeLastGames="Normal",GameListModeLastGames="Ranked"))*((GameListKillsLastGames+GameListAssistsLastGames)
    /
    IF(
     SUMPRODUCT(
      (GameListChampionLastGames=$B$1)*(GameListRoleLastGames=$A5)*(OR(GameListModeLastGames="Normal",GameListModeLastGames="Ranked"))*GameListDeathsLastGames
      )=0,1,SUMPRODUCT(
      (GameListChampionLastGames=$B$1)*(GameListRoleLastGames=$A5)*(OR(GameListModeLastGames="Normal",GameListModeLastGames="Ranked"))*GameListDeathsLastGames)
     )
    )
   ),2
  ),")"
 ),"0 (0)"
)</f>
        <v>0 (0)</v>
      </c>
      <c r="F5" s="15" t="str">
        <f ca="1">IFERROR(CONCATENATE(
  ROUND(
   SUMPRODUCT(
    (GameListChampion=$B$1)*(GameListRole=$A5)*(OR(GameListMode="Normal",GameListMode="Ranked"))*(GameListCS)
   )/$B5,0
  )," (",ROUND(
   SUMPRODUCT(
    (GameListChampionLastGames=$B$1)*(GameListRoleLastGames=$A5)*(OR(GameListModeLastGames="Normal",GameListModeLastGames="Ranked"))*(GameListCSLastGames)
   )/MAX(SUMPRODUCT((GameListChampionLastGames=$B$1)*(GameListRoleLastGames=$A5)*1),1),0
  ),")"
 ),"0 (0)")</f>
        <v>0 (0)</v>
      </c>
      <c r="G5" s="19" t="str">
        <f ca="1">IFERROR(
 CONCATENATE(
  ROUND(
   SUMPRODUCT(
    (GameListChampion=$B$1)*(GameListRole=$A5)*(OR(GameListMode="Normal",GameListMode="Ranked"))*(GameListCS)
   )
   /
   SUMPRODUCT(
    (GameListChampion=$B$1)*(GameListRole=$A5)*(OR(GameListMode="Normal",GameListMode="Ranked"))*(GameListMin + (GameListSec / 60))
   ),2
  )," (",
  ROUND(
   SUMPRODUCT(
    (GameListChampionLastGames=$B$1)*(GameListRoleLastGames=$A5)*(OR(GameListModeLastGames="Normal",GameListModeLastGames="Ranked"))*(GameListCSLastGames)
   )
   /MAX(
   SUMPRODUCT(
    (GameListChampionLastGames=$B$1)*(GameListRoleLastGames=$A5)*(OR(GameListModeLastGames="Normal",GameListModeLastGames="Ranked"))*(GameListMinLastGames + (GameListSecLastGames / 60))
   ),1
  ),2),")"
 ),"0 (0)"
)</f>
        <v>0 (0)</v>
      </c>
      <c r="H5" s="15" t="str">
        <f ca="1">IFERROR(
 CONCATENATE(
  ROUND(
   SUMPRODUCT(
    (GameListChampion=$B$1)*(GameListRole=$A5)*(OR(GameListMode="Normal",GameListMode="Ranked"))*(GameListGold)
   )
   /
   SUMPRODUCT(
    (GameListChampion=$B$1)*(GameListRole=$A5)*(OR(GameListMode="Normal",GameListMode="Ranked"))*(GameListMin + (GameListSec / 60))
   ),0
  )," (",ROUND(
   SUMPRODUCT(
    (GameListChampionLastGames=$B$1)*(GameListRoleLastGames=$A5)*(OR(GameListModeLastGames="Normal",GameListModeLastGames="Ranked"))*(GameListGoldLastGames)
   )
   /
   MAX(SUMPRODUCT(
    (GameListChampionLastGames=$B$1)*(GameListRoleLastGames=$A5)*(OR(GameListModeLastGames="Normal",GameListModeLastGames="Ranked"))*(GameListMinLastGames + (GameListSecLastGames / 60))
   ),1),0
  ),")"
 ),"0 (0)"
)</f>
        <v>0 (0)</v>
      </c>
      <c r="I5" s="15" t="str">
        <f ca="1">IFERROR(
CONCATENATE(
ROUNDDOWN(
SUMPRODUCT((GameListChampion=$B$1)*(GameListRole=$A5)*(OR(GameListMode="Normal",GameListMode="Ranked"))*(GameListMin+(GameListSec/60)))/$B5,0
),":",ROUNDDOWN(
(SUMPRODUCT((GameListChampion=$B$1)*(GameListRole=$A5)*(OR(GameListMode="Normal",GameListMode="Ranked"))*(GameListMin+(GameListSec/60)))/$B5
-
ROUNDDOWN(
SUMPRODUCT((GameListChampion=$B$1)*(GameListRole=$A5)*(OR(GameListMode="Normal",GameListMode="Ranked"))*(GameListMin+(GameListSec/60)))/$B5,0
))*60,0
)
),"00:00"
)</f>
        <v>00:00</v>
      </c>
    </row>
    <row r="6" spans="1:313" x14ac:dyDescent="0.3">
      <c r="A6" s="16" t="s">
        <v>190</v>
      </c>
      <c r="B6" s="16">
        <f ca="1">IFERROR(
 SUMPRODUCT(($B$1&lt;&gt;"")*(GameListChampion=$B$1)*(GameListRole=$A6)*(OR(GameListModeLastGames="Normal",GameListModeLastGames="Ranked"))),0
)</f>
        <v>0</v>
      </c>
      <c r="C6" s="18">
        <f t="shared" ref="C6:C9" ca="1" si="0">IFERROR(B6/SUM($B$5:$B$9),0)</f>
        <v>0</v>
      </c>
      <c r="D6" s="18">
        <f ca="1">IFERROR(
 SUMPRODUCT((GameListChampion=$B$1)*GameListWinLoss*(OR(GameListModeLastGames="Normal",GameListModeLastGames="Ranked"))*(GameListRole=$A6))/$B6,0
)</f>
        <v>0</v>
      </c>
      <c r="E6" s="19" t="str">
        <f ca="1">IFERROR(
 CONCATENATE(
  ROUND(
   SUMPRODUCT(
    (GameListChampion=$B$1)*(GameListRole=$A6)*(OR(GameListMode="Normal",GameListMode="Ranked"))*((GameListKills+GameListAssists)
    /
    IF(
     SUMPRODUCT(
      (GameListChampion=$B$1)*(GameListRole=$A6)*(OR(GameListMode="Normal",GameListMode="Ranked"))*GameListDeaths
      )=0,1,SUMPRODUCT(
      (GameListChampion=$B$1)*(GameListRole=$A6)*(OR(GameListMode="Normal",GameListMode="Ranked"))*GameListDeaths)
     )
    )
   ),2
  )," (",
  ROUND(
   SUMPRODUCT(
    (GameListChampionLastGames=$B$1)*(GameListRoleLastGames=$A6)*(OR(GameListModeLastGames="Normal",GameListModeLastGames="Ranked"))*((GameListKillsLastGames+GameListAssistsLastGames)
    /
    IF(
     SUMPRODUCT(
      (GameListChampionLastGames=$B$1)*(GameListRoleLastGames=$A6)*(OR(GameListModeLastGames="Normal",GameListModeLastGames="Ranked"))*GameListDeathsLastGames
      )=0,1,SUMPRODUCT(
      (GameListChampionLastGames=$B$1)*(GameListRoleLastGames=$A6)*(OR(GameListModeLastGames="Normal",GameListModeLastGames="Ranked"))*GameListDeathsLastGames)
     )
    )
   ),2
  ),")"
 ),"0 (0)"
)</f>
        <v>0 (0)</v>
      </c>
      <c r="F6" s="15" t="str">
        <f ca="1">IFERROR(CONCATENATE(
  ROUND(
   SUMPRODUCT(
    (GameListChampion=$B$1)*(GameListRole=$A6)*(OR(GameListMode="Normal",GameListMode="Ranked"))*(GameListCS)
   )/$B6,0
  )," (",ROUND(
   SUMPRODUCT(
    (GameListChampionLastGames=$B$1)*(GameListRoleLastGames=$A6)*(OR(GameListModeLastGames="Normal",GameListModeLastGames="Ranked"))*(GameListCSLastGames)
   )/MAX(SUMPRODUCT((GameListChampionLastGames=$B$1)*(GameListRoleLastGames=$A6)*1),1),0
  ),")"
 ),"0 (0)")</f>
        <v>0 (0)</v>
      </c>
      <c r="G6" s="19" t="str">
        <f ca="1">IFERROR(
 CONCATENATE(
  ROUND(
   SUMPRODUCT(
    (GameListChampion=$B$1)*(GameListRole=$A6)*(OR(GameListMode="Normal",GameListMode="Ranked"))*(GameListCS)
   )
   /
   SUMPRODUCT(
    (GameListChampion=$B$1)*(GameListRole=$A6)*(OR(GameListMode="Normal",GameListMode="Ranked"))*(GameListMin + (GameListSec / 60))
   ),2
  )," (",
  ROUND(
   SUMPRODUCT(
    (GameListChampionLastGames=$B$1)*(GameListRoleLastGames=$A6)*(OR(GameListModeLastGames="Normal",GameListModeLastGames="Ranked"))*(GameListCSLastGames)
   )
   /MAX(
   SUMPRODUCT(
    (GameListChampionLastGames=$B$1)*(GameListRoleLastGames=$A6)*(OR(GameListModeLastGames="Normal",GameListModeLastGames="Ranked"))*(GameListMinLastGames + (GameListSecLastGames / 60))
   ),1
  ),2),")"
 ),"0 (0)"
)</f>
        <v>0 (0)</v>
      </c>
      <c r="H6" s="15" t="str">
        <f ca="1">IFERROR(
 CONCATENATE(
  ROUND(
   SUMPRODUCT(
    (GameListChampion=$B$1)*(GameListRole=$A6)*(OR(GameListMode="Normal",GameListMode="Ranked"))*(GameListGold)
   )
   /
   SUMPRODUCT(
    (GameListChampion=$B$1)*(GameListRole=$A6)*(OR(GameListMode="Normal",GameListMode="Ranked"))*(GameListMin + (GameListSec / 60))
   ),0
  )," (",ROUND(
   SUMPRODUCT(
    (GameListChampionLastGames=$B$1)*(GameListRoleLastGames=$A6)*(OR(GameListModeLastGames="Normal",GameListModeLastGames="Ranked"))*(GameListGoldLastGames)
   )
   /
   MAX(SUMPRODUCT(
    (GameListChampionLastGames=$B$1)*(GameListRoleLastGames=$A6)*(OR(GameListModeLastGames="Normal",GameListModeLastGames="Ranked"))*(GameListMinLastGames + (GameListSecLastGames / 60))
   ),1),0
  ),")"
 ),"0 (0)"
)</f>
        <v>0 (0)</v>
      </c>
      <c r="I6" s="15" t="str">
        <f ca="1">IFERROR(
CONCATENATE(
ROUNDDOWN(
SUMPRODUCT((GameListChampion=$B$1)*(GameListRole=$A6)*(OR(GameListMode="Normal",GameListMode="Ranked"))*(GameListMin+(GameListSec/60)))/$B6,0
),":",ROUNDDOWN(
(SUMPRODUCT((GameListChampion=$B$1)*(GameListRole=$A6)*(OR(GameListMode="Normal",GameListMode="Ranked"))*(GameListMin+(GameListSec/60)))/$B6
-
ROUNDDOWN(
SUMPRODUCT((GameListChampion=$B$1)*(GameListRole=$A6)*(OR(GameListMode="Normal",GameListMode="Ranked"))*(GameListMin+(GameListSec/60)))/$B6,0
))*60,0
)
),"00:00"
)</f>
        <v>00:00</v>
      </c>
    </row>
    <row r="7" spans="1:313" x14ac:dyDescent="0.3">
      <c r="A7" s="16" t="s">
        <v>156</v>
      </c>
      <c r="B7" s="16">
        <f ca="1">IFERROR(
 SUMPRODUCT(($B$1&lt;&gt;"")*(GameListChampion=$B$1)*(GameListRole=$A7)*(OR(GameListModeLastGames="Normal",GameListModeLastGames="Ranked"))),0
)</f>
        <v>0</v>
      </c>
      <c r="C7" s="18">
        <f t="shared" ca="1" si="0"/>
        <v>0</v>
      </c>
      <c r="D7" s="18">
        <f ca="1">IFERROR(
 SUMPRODUCT((GameListChampion=$B$1)*GameListWinLoss*(OR(GameListModeLastGames="Normal",GameListModeLastGames="Ranked"))*(GameListRole=$A7))/$B7,0
)</f>
        <v>0</v>
      </c>
      <c r="E7" s="19" t="str">
        <f ca="1">IFERROR(
 CONCATENATE(
  ROUND(
   SUMPRODUCT(
    (GameListChampion=$B$1)*(GameListRole=$A7)*(OR(GameListMode="Normal",GameListMode="Ranked"))*((GameListKills+GameListAssists)
    /
    IF(
     SUMPRODUCT(
      (GameListChampion=$B$1)*(GameListRole=$A7)*(OR(GameListMode="Normal",GameListMode="Ranked"))*GameListDeaths
      )=0,1,SUMPRODUCT(
      (GameListChampion=$B$1)*(GameListRole=$A7)*(OR(GameListMode="Normal",GameListMode="Ranked"))*GameListDeaths)
     )
    )
   ),2
  )," (",
  ROUND(
   SUMPRODUCT(
    (GameListChampionLastGames=$B$1)*(GameListRoleLastGames=$A7)*(OR(GameListModeLastGames="Normal",GameListModeLastGames="Ranked"))*((GameListKillsLastGames+GameListAssistsLastGames)
    /
    IF(
     SUMPRODUCT(
      (GameListChampionLastGames=$B$1)*(GameListRoleLastGames=$A7)*(OR(GameListModeLastGames="Normal",GameListModeLastGames="Ranked"))*GameListDeathsLastGames
      )=0,1,SUMPRODUCT(
      (GameListChampionLastGames=$B$1)*(GameListRoleLastGames=$A7)*(OR(GameListModeLastGames="Normal",GameListModeLastGames="Ranked"))*GameListDeathsLastGames)
     )
    )
   ),2
  ),")"
 ),"0 (0)"
)</f>
        <v>0 (0)</v>
      </c>
      <c r="F7" s="15" t="str">
        <f ca="1">IFERROR(CONCATENATE(
  ROUND(
   SUMPRODUCT(
    (GameListChampion=$B$1)*(GameListRole=$A7)*(OR(GameListMode="Normal",GameListMode="Ranked"))*(GameListCS)
   )/$B7,0
  )," (",ROUND(
   SUMPRODUCT(
    (GameListChampionLastGames=$B$1)*(GameListRoleLastGames=$A7)*(OR(GameListModeLastGames="Normal",GameListModeLastGames="Ranked"))*(GameListCSLastGames)
   )/MAX(SUMPRODUCT((GameListChampionLastGames=$B$1)*(GameListRoleLastGames=$A7)*1),1),0
  ),")"
 ),"0 (0)")</f>
        <v>0 (0)</v>
      </c>
      <c r="G7" s="19" t="str">
        <f ca="1">IFERROR(
 CONCATENATE(
  ROUND(
   SUMPRODUCT(
    (GameListChampion=$B$1)*(GameListRole=$A7)*(OR(GameListMode="Normal",GameListMode="Ranked"))*(GameListCS)
   )
   /
   SUMPRODUCT(
    (GameListChampion=$B$1)*(GameListRole=$A7)*(OR(GameListMode="Normal",GameListMode="Ranked"))*(GameListMin + (GameListSec / 60))
   ),2
  )," (",
  ROUND(
   SUMPRODUCT(
    (GameListChampionLastGames=$B$1)*(GameListRoleLastGames=$A7)*(OR(GameListModeLastGames="Normal",GameListModeLastGames="Ranked"))*(GameListCSLastGames)
   )
   /MAX(
   SUMPRODUCT(
    (GameListChampionLastGames=$B$1)*(GameListRoleLastGames=$A7)*(OR(GameListModeLastGames="Normal",GameListModeLastGames="Ranked"))*(GameListMinLastGames + (GameListSecLastGames / 60))
   ),1
  ),2),")"
 ),"0 (0)"
)</f>
        <v>0 (0)</v>
      </c>
      <c r="H7" s="15" t="str">
        <f ca="1">IFERROR(
 CONCATENATE(
  ROUND(
   SUMPRODUCT(
    (GameListChampion=$B$1)*(GameListRole=$A7)*(OR(GameListMode="Normal",GameListMode="Ranked"))*(GameListGold)
   )
   /
   SUMPRODUCT(
    (GameListChampion=$B$1)*(GameListRole=$A7)*(OR(GameListMode="Normal",GameListMode="Ranked"))*(GameListMin + (GameListSec / 60))
   ),0
  )," (",ROUND(
   SUMPRODUCT(
    (GameListChampionLastGames=$B$1)*(GameListRoleLastGames=$A7)*(OR(GameListModeLastGames="Normal",GameListModeLastGames="Ranked"))*(GameListGoldLastGames)
   )
   /
   MAX(SUMPRODUCT(
    (GameListChampionLastGames=$B$1)*(GameListRoleLastGames=$A7)*(OR(GameListModeLastGames="Normal",GameListModeLastGames="Ranked"))*(GameListMinLastGames + (GameListSecLastGames / 60))
   ),1),0
  ),")"
 ),"0 (0)"
)</f>
        <v>0 (0)</v>
      </c>
      <c r="I7" s="15" t="str">
        <f ca="1">IFERROR(
CONCATENATE(
ROUNDDOWN(
SUMPRODUCT((GameListChampion=$B$1)*(GameListRole=$A7)*(OR(GameListMode="Normal",GameListMode="Ranked"))*(GameListMin+(GameListSec/60)))/$B7,0
),":",ROUNDDOWN(
(SUMPRODUCT((GameListChampion=$B$1)*(GameListRole=$A7)*(OR(GameListMode="Normal",GameListMode="Ranked"))*(GameListMin+(GameListSec/60)))/$B7
-
ROUNDDOWN(
SUMPRODUCT((GameListChampion=$B$1)*(GameListRole=$A7)*(OR(GameListMode="Normal",GameListMode="Ranked"))*(GameListMin+(GameListSec/60)))/$B7,0
))*60,0
)
),"00:00"
)</f>
        <v>00:00</v>
      </c>
    </row>
    <row r="8" spans="1:313" x14ac:dyDescent="0.3">
      <c r="A8" s="16" t="s">
        <v>194</v>
      </c>
      <c r="B8" s="16">
        <f ca="1">IFERROR(
 SUMPRODUCT(($B$1&lt;&gt;"")*(GameListChampion=$B$1)*(GameListRole=$A8)*(OR(GameListModeLastGames="Normal",GameListModeLastGames="Ranked"))),0
)</f>
        <v>0</v>
      </c>
      <c r="C8" s="18">
        <f t="shared" ca="1" si="0"/>
        <v>0</v>
      </c>
      <c r="D8" s="18">
        <f ca="1">IFERROR(
 SUMPRODUCT((GameListChampion=$B$1)*GameListWinLoss*(OR(GameListModeLastGames="Normal",GameListModeLastGames="Ranked"))*(GameListRole=$A8))/$B8,0
)</f>
        <v>0</v>
      </c>
      <c r="E8" s="19" t="str">
        <f ca="1">IFERROR(
 CONCATENATE(
  ROUND(
   SUMPRODUCT(
    (GameListChampion=$B$1)*(GameListRole=$A8)*(OR(GameListMode="Normal",GameListMode="Ranked"))*((GameListKills+GameListAssists)
    /
    IF(
     SUMPRODUCT(
      (GameListChampion=$B$1)*(GameListRole=$A8)*(OR(GameListMode="Normal",GameListMode="Ranked"))*GameListDeaths
      )=0,1,SUMPRODUCT(
      (GameListChampion=$B$1)*(GameListRole=$A8)*(OR(GameListMode="Normal",GameListMode="Ranked"))*GameListDeaths)
     )
    )
   ),2
  )," (",
  ROUND(
   SUMPRODUCT(
    (GameListChampionLastGames=$B$1)*(GameListRoleLastGames=$A8)*(OR(GameListModeLastGames="Normal",GameListModeLastGames="Ranked"))*((GameListKillsLastGames+GameListAssistsLastGames)
    /
    IF(
     SUMPRODUCT(
      (GameListChampionLastGames=$B$1)*(GameListRoleLastGames=$A8)*(OR(GameListModeLastGames="Normal",GameListModeLastGames="Ranked"))*GameListDeathsLastGames
      )=0,1,SUMPRODUCT(
      (GameListChampionLastGames=$B$1)*(GameListRoleLastGames=$A8)*(OR(GameListModeLastGames="Normal",GameListModeLastGames="Ranked"))*GameListDeathsLastGames)
     )
    )
   ),2
  ),")"
 ),"0 (0)"
)</f>
        <v>0 (0)</v>
      </c>
      <c r="F8" s="15" t="str">
        <f ca="1">IFERROR(CONCATENATE(
  ROUND(
   SUMPRODUCT(
    (GameListChampion=$B$1)*(GameListRole=$A8)*(OR(GameListMode="Normal",GameListMode="Ranked"))*(GameListCS)
   )/$B8,0
  )," (",ROUND(
   SUMPRODUCT(
    (GameListChampionLastGames=$B$1)*(GameListRoleLastGames=$A8)*(OR(GameListModeLastGames="Normal",GameListModeLastGames="Ranked"))*(GameListCSLastGames)
   )/MAX(SUMPRODUCT((GameListChampionLastGames=$B$1)*(GameListRoleLastGames=$A8)*1),1),0
  ),")"
 ),"0 (0)")</f>
        <v>0 (0)</v>
      </c>
      <c r="G8" s="19" t="str">
        <f ca="1">IFERROR(
 CONCATENATE(
  ROUND(
   SUMPRODUCT(
    (GameListChampion=$B$1)*(GameListRole=$A8)*(OR(GameListMode="Normal",GameListMode="Ranked"))*(GameListCS)
   )
   /
   SUMPRODUCT(
    (GameListChampion=$B$1)*(GameListRole=$A8)*(OR(GameListMode="Normal",GameListMode="Ranked"))*(GameListMin + (GameListSec / 60))
   ),2
  )," (",
  ROUND(
   SUMPRODUCT(
    (GameListChampionLastGames=$B$1)*(GameListRoleLastGames=$A8)*(OR(GameListModeLastGames="Normal",GameListModeLastGames="Ranked"))*(GameListCSLastGames)
   )
   /MAX(
   SUMPRODUCT(
    (GameListChampionLastGames=$B$1)*(GameListRoleLastGames=$A8)*(OR(GameListModeLastGames="Normal",GameListModeLastGames="Ranked"))*(GameListMinLastGames + (GameListSecLastGames / 60))
   ),1
  ),2),")"
 ),"0 (0)"
)</f>
        <v>0 (0)</v>
      </c>
      <c r="H8" s="15" t="str">
        <f ca="1">IFERROR(
 CONCATENATE(
  ROUND(
   SUMPRODUCT(
    (GameListChampion=$B$1)*(GameListRole=$A8)*(OR(GameListMode="Normal",GameListMode="Ranked"))*(GameListGold)
   )
   /
   SUMPRODUCT(
    (GameListChampion=$B$1)*(GameListRole=$A8)*(OR(GameListMode="Normal",GameListMode="Ranked"))*(GameListMin + (GameListSec / 60))
   ),0
  )," (",ROUND(
   SUMPRODUCT(
    (GameListChampionLastGames=$B$1)*(GameListRoleLastGames=$A8)*(OR(GameListModeLastGames="Normal",GameListModeLastGames="Ranked"))*(GameListGoldLastGames)
   )
   /
   MAX(SUMPRODUCT(
    (GameListChampionLastGames=$B$1)*(GameListRoleLastGames=$A8)*(OR(GameListModeLastGames="Normal",GameListModeLastGames="Ranked"))*(GameListMinLastGames + (GameListSecLastGames / 60))
   ),1),0
  ),")"
 ),"0 (0)"
)</f>
        <v>0 (0)</v>
      </c>
      <c r="I8" s="15" t="str">
        <f ca="1">IFERROR(
CONCATENATE(
ROUNDDOWN(
SUMPRODUCT((GameListChampion=$B$1)*(GameListRole=$A8)*(OR(GameListMode="Normal",GameListMode="Ranked"))*(GameListMin+(GameListSec/60)))/$B8,0
),":",ROUNDDOWN(
(SUMPRODUCT((GameListChampion=$B$1)*(GameListRole=$A8)*(OR(GameListMode="Normal",GameListMode="Ranked"))*(GameListMin+(GameListSec/60)))/$B8
-
ROUNDDOWN(
SUMPRODUCT((GameListChampion=$B$1)*(GameListRole=$A8)*(OR(GameListMode="Normal",GameListMode="Ranked"))*(GameListMin+(GameListSec/60)))/$B8,0
))*60,0
)
),"00:00"
)</f>
        <v>00:00</v>
      </c>
    </row>
    <row r="9" spans="1:313" x14ac:dyDescent="0.3">
      <c r="A9" s="16" t="s">
        <v>189</v>
      </c>
      <c r="B9" s="16">
        <f ca="1">IFERROR(
 SUMPRODUCT(($B$1&lt;&gt;"")*(GameListChampion=$B$1)*(GameListRole=$A9)*(OR(GameListModeLastGames="Normal",GameListModeLastGames="Ranked"))),0
)</f>
        <v>0</v>
      </c>
      <c r="C9" s="18">
        <f t="shared" ca="1" si="0"/>
        <v>0</v>
      </c>
      <c r="D9" s="18">
        <f ca="1">IFERROR(
 SUMPRODUCT((GameListChampion=$B$1)*GameListWinLoss*(OR(GameListModeLastGames="Normal",GameListModeLastGames="Ranked"))*(GameListRole=$A9))/$B9,0
)</f>
        <v>0</v>
      </c>
      <c r="E9" s="19" t="str">
        <f ca="1">IFERROR(
 CONCATENATE(
  ROUND(
   SUMPRODUCT(
    (GameListChampion=$B$1)*(GameListRole=$A9)*(OR(GameListMode="Normal",GameListMode="Ranked"))*((GameListKills+GameListAssists)
    /
    IF(
     SUMPRODUCT(
      (GameListChampion=$B$1)*(GameListRole=$A9)*(OR(GameListMode="Normal",GameListMode="Ranked"))*GameListDeaths
      )=0,1,SUMPRODUCT(
      (GameListChampion=$B$1)*(GameListRole=$A9)*(OR(GameListMode="Normal",GameListMode="Ranked"))*GameListDeaths)
     )
    )
   ),2
  )," (",
  ROUND(
   SUMPRODUCT(
    (GameListChampionLastGames=$B$1)*(GameListRoleLastGames=$A9)*(OR(GameListModeLastGames="Normal",GameListModeLastGames="Ranked"))*((GameListKillsLastGames+GameListAssistsLastGames)
    /
    IF(
     SUMPRODUCT(
      (GameListChampionLastGames=$B$1)*(GameListRoleLastGames=$A9)*(OR(GameListModeLastGames="Normal",GameListModeLastGames="Ranked"))*GameListDeathsLastGames
      )=0,1,SUMPRODUCT(
      (GameListChampionLastGames=$B$1)*(GameListRoleLastGames=$A9)*(OR(GameListModeLastGames="Normal",GameListModeLastGames="Ranked"))*GameListDeathsLastGames)
     )
    )
   ),2
  ),")"
 ),"0 (0)"
)</f>
        <v>0 (0)</v>
      </c>
      <c r="F9" s="15" t="str">
        <f ca="1">IFERROR(CONCATENATE(
  ROUND(
   SUMPRODUCT(
    (GameListChampion=$B$1)*(GameListRole=$A9)*(OR(GameListMode="Normal",GameListMode="Ranked"))*(GameListCS)
   )/$B9,0
  )," (",ROUND(
   SUMPRODUCT(
    (GameListChampionLastGames=$B$1)*(GameListRoleLastGames=$A9)*(OR(GameListModeLastGames="Normal",GameListModeLastGames="Ranked"))*(GameListCSLastGames)
   )/MAX(SUMPRODUCT((GameListChampionLastGames=$B$1)*(GameListRoleLastGames=$A9)*1),1),0
  ),")"
 ),"0 (0)")</f>
        <v>0 (0)</v>
      </c>
      <c r="G9" s="19" t="str">
        <f ca="1">IFERROR(
 CONCATENATE(
  ROUND(
   SUMPRODUCT(
    (GameListChampion=$B$1)*(GameListRole=$A9)*(OR(GameListMode="Normal",GameListMode="Ranked"))*(GameListCS)
   )
   /
   SUMPRODUCT(
    (GameListChampion=$B$1)*(GameListRole=$A9)*(OR(GameListMode="Normal",GameListMode="Ranked"))*(GameListMin + (GameListSec / 60))
   ),2
  )," (",
  ROUND(
   SUMPRODUCT(
    (GameListChampionLastGames=$B$1)*(GameListRoleLastGames=$A9)*(OR(GameListModeLastGames="Normal",GameListModeLastGames="Ranked"))*(GameListCSLastGames)
   )
   /MAX(
   SUMPRODUCT(
    (GameListChampionLastGames=$B$1)*(GameListRoleLastGames=$A9)*(OR(GameListModeLastGames="Normal",GameListModeLastGames="Ranked"))*(GameListMinLastGames + (GameListSecLastGames / 60))
   ),1
  ),2),")"
 ),"0 (0)"
)</f>
        <v>0 (0)</v>
      </c>
      <c r="H9" s="15" t="str">
        <f ca="1">IFERROR(
 CONCATENATE(
  ROUND(
   SUMPRODUCT(
    (GameListChampion=$B$1)*(GameListRole=$A9)*(OR(GameListMode="Normal",GameListMode="Ranked"))*(GameListGold)
   )
   /
   SUMPRODUCT(
    (GameListChampion=$B$1)*(GameListRole=$A9)*(OR(GameListMode="Normal",GameListMode="Ranked"))*(GameListMin + (GameListSec / 60))
   ),0
  )," (",ROUND(
   SUMPRODUCT(
    (GameListChampionLastGames=$B$1)*(GameListRoleLastGames=$A9)*(OR(GameListModeLastGames="Normal",GameListModeLastGames="Ranked"))*(GameListGoldLastGames)
   )
   /
   MAX(SUMPRODUCT(
    (GameListChampionLastGames=$B$1)*(GameListRoleLastGames=$A9)*(OR(GameListModeLastGames="Normal",GameListModeLastGames="Ranked"))*(GameListMinLastGames + (GameListSecLastGames / 60))
   ),1),0
  ),")"
 ),"0 (0)"
)</f>
        <v>0 (0)</v>
      </c>
      <c r="I9" s="15" t="str">
        <f ca="1">IFERROR(
CONCATENATE(
ROUNDDOWN(
SUMPRODUCT((GameListChampion=$B$1)*(GameListRole=$A9)*(OR(GameListMode="Normal",GameListMode="Ranked"))*(GameListMin+(GameListSec/60)))/$B9,0
),":",ROUNDDOWN(
(SUMPRODUCT((GameListChampion=$B$1)*(GameListRole=$A9)*(OR(GameListMode="Normal",GameListMode="Ranked"))*(GameListMin+(GameListSec/60)))/$B9
-
ROUNDDOWN(
SUMPRODUCT((GameListChampion=$B$1)*(GameListRole=$A9)*(OR(GameListMode="Normal",GameListMode="Ranked"))*(GameListMin+(GameListSec/60)))/$B9,0
))*60,0
)
),"00:00"
)</f>
        <v>00:00</v>
      </c>
    </row>
    <row r="11" spans="1:313" s="2" customFormat="1" x14ac:dyDescent="0.3">
      <c r="A11" s="1" t="s">
        <v>128</v>
      </c>
      <c r="B11" s="1" t="s">
        <v>129</v>
      </c>
      <c r="C11" s="1" t="s">
        <v>131</v>
      </c>
      <c r="D11" s="1" t="s">
        <v>195</v>
      </c>
      <c r="E11" s="1" t="s">
        <v>132</v>
      </c>
      <c r="F11" s="1" t="s">
        <v>130</v>
      </c>
      <c r="DR11"/>
    </row>
    <row r="12" spans="1:313" x14ac:dyDescent="0.3">
      <c r="A12" t="s">
        <v>0</v>
      </c>
      <c r="B12">
        <f t="shared" ref="B12:B43" ca="1" si="1">IFERROR(
 SUMPRODUCT((GameListChampion=$B$1)*(OR(GameListMode="Normal",GameListMode="Ranked"))*(GameListLaneOpponent=$A12)),0
)</f>
        <v>0</v>
      </c>
      <c r="C12">
        <f t="shared" ref="C12:C43" ca="1" si="2">IFERROR(
 SUMPRODUCT((GameListChampion=$B$1)*(OR(GameListMode="Normal",GameListMode="Ranked"))*(GameListLaneOpponent=$A12)*GameListWinLoss),0
)</f>
        <v>0</v>
      </c>
      <c r="D12" s="3">
        <f ca="1">IF(B12=0,0,B12/SUM($B$12:$B$140))</f>
        <v>0</v>
      </c>
      <c r="E12" s="20" t="str">
        <f ca="1">IF(B12=0,"N/A",C12/B12)</f>
        <v>N/A</v>
      </c>
      <c r="F12" s="21"/>
    </row>
    <row r="13" spans="1:313" x14ac:dyDescent="0.3">
      <c r="A13" t="s">
        <v>1</v>
      </c>
      <c r="B13">
        <f t="shared" ca="1" si="1"/>
        <v>0</v>
      </c>
      <c r="C13">
        <f t="shared" ca="1" si="2"/>
        <v>0</v>
      </c>
      <c r="D13" s="3">
        <f t="shared" ref="D13:D76" ca="1" si="3">IF(B13=0,0,B13/SUM($B$12:$B$140))</f>
        <v>0</v>
      </c>
      <c r="E13" s="20" t="str">
        <f t="shared" ref="E13:E76" ca="1" si="4">IF(B13=0,"N/A",C13/B13)</f>
        <v>N/A</v>
      </c>
      <c r="F13" s="21" t="s">
        <v>148</v>
      </c>
    </row>
    <row r="14" spans="1:313" x14ac:dyDescent="0.3">
      <c r="A14" t="s">
        <v>2</v>
      </c>
      <c r="B14">
        <f t="shared" ca="1" si="1"/>
        <v>0</v>
      </c>
      <c r="C14">
        <f t="shared" ca="1" si="2"/>
        <v>0</v>
      </c>
      <c r="D14" s="3">
        <f t="shared" ca="1" si="3"/>
        <v>0</v>
      </c>
      <c r="E14" s="20" t="str">
        <f t="shared" ca="1" si="4"/>
        <v>N/A</v>
      </c>
      <c r="F14" s="21" t="s">
        <v>149</v>
      </c>
    </row>
    <row r="15" spans="1:313" x14ac:dyDescent="0.3">
      <c r="A15" t="s">
        <v>3</v>
      </c>
      <c r="B15">
        <f t="shared" ca="1" si="1"/>
        <v>0</v>
      </c>
      <c r="C15">
        <f t="shared" ca="1" si="2"/>
        <v>0</v>
      </c>
      <c r="D15" s="3">
        <f t="shared" ca="1" si="3"/>
        <v>0</v>
      </c>
      <c r="E15" s="20" t="str">
        <f t="shared" ca="1" si="4"/>
        <v>N/A</v>
      </c>
      <c r="F15" s="21"/>
    </row>
    <row r="16" spans="1:313" x14ac:dyDescent="0.3">
      <c r="A16" t="s">
        <v>4</v>
      </c>
      <c r="B16">
        <f t="shared" ca="1" si="1"/>
        <v>0</v>
      </c>
      <c r="C16">
        <f t="shared" ca="1" si="2"/>
        <v>0</v>
      </c>
      <c r="D16" s="3">
        <f t="shared" ca="1" si="3"/>
        <v>0</v>
      </c>
      <c r="E16" s="20" t="str">
        <f t="shared" ca="1" si="4"/>
        <v>N/A</v>
      </c>
      <c r="F16" s="21"/>
    </row>
    <row r="17" spans="1:6" x14ac:dyDescent="0.3">
      <c r="A17" t="s">
        <v>5</v>
      </c>
      <c r="B17">
        <f t="shared" ca="1" si="1"/>
        <v>0</v>
      </c>
      <c r="C17">
        <f t="shared" ca="1" si="2"/>
        <v>0</v>
      </c>
      <c r="D17" s="3">
        <f t="shared" ca="1" si="3"/>
        <v>0</v>
      </c>
      <c r="E17" s="20" t="str">
        <f t="shared" ca="1" si="4"/>
        <v>N/A</v>
      </c>
      <c r="F17" s="21" t="s">
        <v>150</v>
      </c>
    </row>
    <row r="18" spans="1:6" x14ac:dyDescent="0.3">
      <c r="A18" t="s">
        <v>6</v>
      </c>
      <c r="B18">
        <f t="shared" ca="1" si="1"/>
        <v>0</v>
      </c>
      <c r="C18">
        <f t="shared" ca="1" si="2"/>
        <v>0</v>
      </c>
      <c r="D18" s="3">
        <f t="shared" ca="1" si="3"/>
        <v>0</v>
      </c>
      <c r="E18" s="20" t="str">
        <f t="shared" ca="1" si="4"/>
        <v>N/A</v>
      </c>
      <c r="F18" s="21" t="s">
        <v>147</v>
      </c>
    </row>
    <row r="19" spans="1:6" x14ac:dyDescent="0.3">
      <c r="A19" t="s">
        <v>7</v>
      </c>
      <c r="B19">
        <f t="shared" ca="1" si="1"/>
        <v>0</v>
      </c>
      <c r="C19">
        <f t="shared" ca="1" si="2"/>
        <v>0</v>
      </c>
      <c r="D19" s="3">
        <f t="shared" ca="1" si="3"/>
        <v>0</v>
      </c>
      <c r="E19" s="20" t="str">
        <f t="shared" ca="1" si="4"/>
        <v>N/A</v>
      </c>
      <c r="F19" s="21"/>
    </row>
    <row r="20" spans="1:6" x14ac:dyDescent="0.3">
      <c r="A20" t="s">
        <v>8</v>
      </c>
      <c r="B20">
        <f t="shared" ca="1" si="1"/>
        <v>0</v>
      </c>
      <c r="C20">
        <f t="shared" ca="1" si="2"/>
        <v>0</v>
      </c>
      <c r="D20" s="3">
        <f t="shared" ca="1" si="3"/>
        <v>0</v>
      </c>
      <c r="E20" s="20" t="str">
        <f t="shared" ca="1" si="4"/>
        <v>N/A</v>
      </c>
      <c r="F20" s="21" t="s">
        <v>204</v>
      </c>
    </row>
    <row r="21" spans="1:6" x14ac:dyDescent="0.3">
      <c r="A21" t="s">
        <v>9</v>
      </c>
      <c r="B21">
        <f t="shared" ca="1" si="1"/>
        <v>0</v>
      </c>
      <c r="C21">
        <f t="shared" ca="1" si="2"/>
        <v>0</v>
      </c>
      <c r="D21" s="3">
        <f t="shared" ca="1" si="3"/>
        <v>0</v>
      </c>
      <c r="E21" s="20" t="str">
        <f t="shared" ca="1" si="4"/>
        <v>N/A</v>
      </c>
      <c r="F21" s="21"/>
    </row>
    <row r="22" spans="1:6" x14ac:dyDescent="0.3">
      <c r="A22" t="s">
        <v>10</v>
      </c>
      <c r="B22">
        <f t="shared" ca="1" si="1"/>
        <v>0</v>
      </c>
      <c r="C22">
        <f t="shared" ca="1" si="2"/>
        <v>0</v>
      </c>
      <c r="D22" s="3">
        <f t="shared" ca="1" si="3"/>
        <v>0</v>
      </c>
      <c r="E22" s="20" t="str">
        <f t="shared" ca="1" si="4"/>
        <v>N/A</v>
      </c>
      <c r="F22" s="21"/>
    </row>
    <row r="23" spans="1:6" x14ac:dyDescent="0.3">
      <c r="A23" t="s">
        <v>11</v>
      </c>
      <c r="B23">
        <f t="shared" ca="1" si="1"/>
        <v>0</v>
      </c>
      <c r="C23">
        <f t="shared" ca="1" si="2"/>
        <v>0</v>
      </c>
      <c r="D23" s="3">
        <f t="shared" ca="1" si="3"/>
        <v>0</v>
      </c>
      <c r="E23" s="20" t="str">
        <f t="shared" ca="1" si="4"/>
        <v>N/A</v>
      </c>
      <c r="F23" s="21" t="s">
        <v>151</v>
      </c>
    </row>
    <row r="24" spans="1:6" x14ac:dyDescent="0.3">
      <c r="A24" t="s">
        <v>12</v>
      </c>
      <c r="B24">
        <f t="shared" ca="1" si="1"/>
        <v>0</v>
      </c>
      <c r="C24">
        <f t="shared" ca="1" si="2"/>
        <v>0</v>
      </c>
      <c r="D24" s="3">
        <f t="shared" ca="1" si="3"/>
        <v>0</v>
      </c>
      <c r="E24" s="20" t="str">
        <f t="shared" ca="1" si="4"/>
        <v>N/A</v>
      </c>
      <c r="F24" s="21"/>
    </row>
    <row r="25" spans="1:6" x14ac:dyDescent="0.3">
      <c r="A25" t="s">
        <v>13</v>
      </c>
      <c r="B25">
        <f t="shared" ca="1" si="1"/>
        <v>0</v>
      </c>
      <c r="C25">
        <f t="shared" ca="1" si="2"/>
        <v>0</v>
      </c>
      <c r="D25" s="3">
        <f t="shared" ca="1" si="3"/>
        <v>0</v>
      </c>
      <c r="E25" s="20" t="str">
        <f t="shared" ca="1" si="4"/>
        <v>N/A</v>
      </c>
      <c r="F25" s="21"/>
    </row>
    <row r="26" spans="1:6" x14ac:dyDescent="0.3">
      <c r="A26" t="s">
        <v>14</v>
      </c>
      <c r="B26">
        <f t="shared" ca="1" si="1"/>
        <v>0</v>
      </c>
      <c r="C26">
        <f t="shared" ca="1" si="2"/>
        <v>0</v>
      </c>
      <c r="D26" s="3">
        <f t="shared" ca="1" si="3"/>
        <v>0</v>
      </c>
      <c r="E26" s="20" t="str">
        <f t="shared" ca="1" si="4"/>
        <v>N/A</v>
      </c>
      <c r="F26" s="21"/>
    </row>
    <row r="27" spans="1:6" x14ac:dyDescent="0.3">
      <c r="A27" t="s">
        <v>15</v>
      </c>
      <c r="B27">
        <f t="shared" ca="1" si="1"/>
        <v>0</v>
      </c>
      <c r="C27">
        <f t="shared" ca="1" si="2"/>
        <v>0</v>
      </c>
      <c r="D27" s="3">
        <f t="shared" ca="1" si="3"/>
        <v>0</v>
      </c>
      <c r="E27" s="20" t="str">
        <f t="shared" ca="1" si="4"/>
        <v>N/A</v>
      </c>
      <c r="F27" s="21" t="s">
        <v>172</v>
      </c>
    </row>
    <row r="28" spans="1:6" x14ac:dyDescent="0.3">
      <c r="A28" t="s">
        <v>16</v>
      </c>
      <c r="B28">
        <f t="shared" ca="1" si="1"/>
        <v>0</v>
      </c>
      <c r="C28">
        <f t="shared" ca="1" si="2"/>
        <v>0</v>
      </c>
      <c r="D28" s="3">
        <f t="shared" ca="1" si="3"/>
        <v>0</v>
      </c>
      <c r="E28" s="20" t="str">
        <f t="shared" ca="1" si="4"/>
        <v>N/A</v>
      </c>
      <c r="F28" s="21"/>
    </row>
    <row r="29" spans="1:6" x14ac:dyDescent="0.3">
      <c r="A29" t="s">
        <v>17</v>
      </c>
      <c r="B29">
        <f t="shared" ca="1" si="1"/>
        <v>0</v>
      </c>
      <c r="C29">
        <f t="shared" ca="1" si="2"/>
        <v>0</v>
      </c>
      <c r="D29" s="3">
        <f t="shared" ca="1" si="3"/>
        <v>0</v>
      </c>
      <c r="E29" s="20" t="str">
        <f t="shared" ca="1" si="4"/>
        <v>N/A</v>
      </c>
      <c r="F29" s="21"/>
    </row>
    <row r="30" spans="1:6" x14ac:dyDescent="0.3">
      <c r="A30" t="s">
        <v>18</v>
      </c>
      <c r="B30">
        <f t="shared" ca="1" si="1"/>
        <v>0</v>
      </c>
      <c r="C30">
        <f t="shared" ca="1" si="2"/>
        <v>0</v>
      </c>
      <c r="D30" s="3">
        <f t="shared" ca="1" si="3"/>
        <v>0</v>
      </c>
      <c r="E30" s="20" t="str">
        <f t="shared" ca="1" si="4"/>
        <v>N/A</v>
      </c>
      <c r="F30" s="21"/>
    </row>
    <row r="31" spans="1:6" x14ac:dyDescent="0.3">
      <c r="A31" t="s">
        <v>19</v>
      </c>
      <c r="B31">
        <f t="shared" ca="1" si="1"/>
        <v>0</v>
      </c>
      <c r="C31">
        <f t="shared" ca="1" si="2"/>
        <v>0</v>
      </c>
      <c r="D31" s="3">
        <f t="shared" ca="1" si="3"/>
        <v>0</v>
      </c>
      <c r="E31" s="20" t="str">
        <f t="shared" ca="1" si="4"/>
        <v>N/A</v>
      </c>
      <c r="F31" s="21"/>
    </row>
    <row r="32" spans="1:6" x14ac:dyDescent="0.3">
      <c r="A32" t="s">
        <v>20</v>
      </c>
      <c r="B32">
        <f t="shared" ca="1" si="1"/>
        <v>0</v>
      </c>
      <c r="C32">
        <f t="shared" ca="1" si="2"/>
        <v>0</v>
      </c>
      <c r="D32" s="3">
        <f t="shared" ca="1" si="3"/>
        <v>0</v>
      </c>
      <c r="E32" s="20" t="str">
        <f t="shared" ca="1" si="4"/>
        <v>N/A</v>
      </c>
      <c r="F32" s="21"/>
    </row>
    <row r="33" spans="1:6" x14ac:dyDescent="0.3">
      <c r="A33" t="s">
        <v>21</v>
      </c>
      <c r="B33">
        <f t="shared" ca="1" si="1"/>
        <v>0</v>
      </c>
      <c r="C33">
        <f t="shared" ca="1" si="2"/>
        <v>0</v>
      </c>
      <c r="D33" s="3">
        <f t="shared" ca="1" si="3"/>
        <v>0</v>
      </c>
      <c r="E33" s="20" t="str">
        <f t="shared" ca="1" si="4"/>
        <v>N/A</v>
      </c>
      <c r="F33" s="21" t="s">
        <v>182</v>
      </c>
    </row>
    <row r="34" spans="1:6" x14ac:dyDescent="0.3">
      <c r="A34" t="s">
        <v>22</v>
      </c>
      <c r="B34">
        <f t="shared" ca="1" si="1"/>
        <v>0</v>
      </c>
      <c r="C34">
        <f t="shared" ca="1" si="2"/>
        <v>0</v>
      </c>
      <c r="D34" s="3">
        <f t="shared" ca="1" si="3"/>
        <v>0</v>
      </c>
      <c r="E34" s="20" t="str">
        <f t="shared" ca="1" si="4"/>
        <v>N/A</v>
      </c>
      <c r="F34" s="21"/>
    </row>
    <row r="35" spans="1:6" x14ac:dyDescent="0.3">
      <c r="A35" t="s">
        <v>23</v>
      </c>
      <c r="B35">
        <f t="shared" ca="1" si="1"/>
        <v>0</v>
      </c>
      <c r="C35">
        <f t="shared" ca="1" si="2"/>
        <v>0</v>
      </c>
      <c r="D35" s="3">
        <f t="shared" ca="1" si="3"/>
        <v>0</v>
      </c>
      <c r="E35" s="20" t="str">
        <f t="shared" ca="1" si="4"/>
        <v>N/A</v>
      </c>
      <c r="F35" s="21"/>
    </row>
    <row r="36" spans="1:6" x14ac:dyDescent="0.3">
      <c r="A36" t="s">
        <v>24</v>
      </c>
      <c r="B36">
        <f t="shared" ca="1" si="1"/>
        <v>0</v>
      </c>
      <c r="C36">
        <f t="shared" ca="1" si="2"/>
        <v>0</v>
      </c>
      <c r="D36" s="3">
        <f t="shared" ca="1" si="3"/>
        <v>0</v>
      </c>
      <c r="E36" s="20" t="str">
        <f t="shared" ca="1" si="4"/>
        <v>N/A</v>
      </c>
      <c r="F36" s="21"/>
    </row>
    <row r="37" spans="1:6" x14ac:dyDescent="0.3">
      <c r="A37" t="s">
        <v>25</v>
      </c>
      <c r="B37">
        <f t="shared" ca="1" si="1"/>
        <v>0</v>
      </c>
      <c r="C37">
        <f t="shared" ca="1" si="2"/>
        <v>0</v>
      </c>
      <c r="D37" s="3">
        <f t="shared" ca="1" si="3"/>
        <v>0</v>
      </c>
      <c r="E37" s="20" t="str">
        <f t="shared" ca="1" si="4"/>
        <v>N/A</v>
      </c>
      <c r="F37" s="21"/>
    </row>
    <row r="38" spans="1:6" x14ac:dyDescent="0.3">
      <c r="A38" t="s">
        <v>26</v>
      </c>
      <c r="B38">
        <f t="shared" ca="1" si="1"/>
        <v>0</v>
      </c>
      <c r="C38">
        <f t="shared" ca="1" si="2"/>
        <v>0</v>
      </c>
      <c r="D38" s="3">
        <f t="shared" ca="1" si="3"/>
        <v>0</v>
      </c>
      <c r="E38" s="20" t="str">
        <f t="shared" ca="1" si="4"/>
        <v>N/A</v>
      </c>
      <c r="F38" s="21" t="s">
        <v>183</v>
      </c>
    </row>
    <row r="39" spans="1:6" x14ac:dyDescent="0.3">
      <c r="A39" t="s">
        <v>27</v>
      </c>
      <c r="B39">
        <f t="shared" ca="1" si="1"/>
        <v>0</v>
      </c>
      <c r="C39">
        <f t="shared" ca="1" si="2"/>
        <v>0</v>
      </c>
      <c r="D39" s="3">
        <f t="shared" ca="1" si="3"/>
        <v>0</v>
      </c>
      <c r="E39" s="20" t="str">
        <f t="shared" ca="1" si="4"/>
        <v>N/A</v>
      </c>
      <c r="F39" s="21"/>
    </row>
    <row r="40" spans="1:6" x14ac:dyDescent="0.3">
      <c r="A40" t="s">
        <v>28</v>
      </c>
      <c r="B40">
        <f t="shared" ca="1" si="1"/>
        <v>0</v>
      </c>
      <c r="C40">
        <f t="shared" ca="1" si="2"/>
        <v>0</v>
      </c>
      <c r="D40" s="3">
        <f t="shared" ca="1" si="3"/>
        <v>0</v>
      </c>
      <c r="E40" s="20" t="str">
        <f t="shared" ca="1" si="4"/>
        <v>N/A</v>
      </c>
      <c r="F40" s="21"/>
    </row>
    <row r="41" spans="1:6" x14ac:dyDescent="0.3">
      <c r="A41" t="s">
        <v>29</v>
      </c>
      <c r="B41">
        <f t="shared" ca="1" si="1"/>
        <v>0</v>
      </c>
      <c r="C41">
        <f t="shared" ca="1" si="2"/>
        <v>0</v>
      </c>
      <c r="D41" s="3">
        <f t="shared" ca="1" si="3"/>
        <v>0</v>
      </c>
      <c r="E41" s="20" t="str">
        <f t="shared" ca="1" si="4"/>
        <v>N/A</v>
      </c>
      <c r="F41" s="21" t="s">
        <v>208</v>
      </c>
    </row>
    <row r="42" spans="1:6" x14ac:dyDescent="0.3">
      <c r="A42" t="s">
        <v>30</v>
      </c>
      <c r="B42">
        <f t="shared" ca="1" si="1"/>
        <v>0</v>
      </c>
      <c r="C42">
        <f t="shared" ca="1" si="2"/>
        <v>0</v>
      </c>
      <c r="D42" s="3">
        <f t="shared" ca="1" si="3"/>
        <v>0</v>
      </c>
      <c r="E42" s="20" t="str">
        <f t="shared" ca="1" si="4"/>
        <v>N/A</v>
      </c>
      <c r="F42" s="21"/>
    </row>
    <row r="43" spans="1:6" x14ac:dyDescent="0.3">
      <c r="A43" t="s">
        <v>31</v>
      </c>
      <c r="B43">
        <f t="shared" ca="1" si="1"/>
        <v>0</v>
      </c>
      <c r="C43">
        <f t="shared" ca="1" si="2"/>
        <v>0</v>
      </c>
      <c r="D43" s="3">
        <f t="shared" ca="1" si="3"/>
        <v>0</v>
      </c>
      <c r="E43" s="20" t="str">
        <f t="shared" ca="1" si="4"/>
        <v>N/A</v>
      </c>
      <c r="F43" s="21"/>
    </row>
    <row r="44" spans="1:6" x14ac:dyDescent="0.3">
      <c r="A44" t="s">
        <v>32</v>
      </c>
      <c r="B44">
        <f t="shared" ref="B44:B75" ca="1" si="5">IFERROR(
 SUMPRODUCT((GameListChampion=$B$1)*(OR(GameListMode="Normal",GameListMode="Ranked"))*(GameListLaneOpponent=$A44)),0
)</f>
        <v>0</v>
      </c>
      <c r="C44">
        <f t="shared" ref="C44:C75" ca="1" si="6">IFERROR(
 SUMPRODUCT((GameListChampion=$B$1)*(OR(GameListMode="Normal",GameListMode="Ranked"))*(GameListLaneOpponent=$A44)*GameListWinLoss),0
)</f>
        <v>0</v>
      </c>
      <c r="D44" s="3">
        <f t="shared" ca="1" si="3"/>
        <v>0</v>
      </c>
      <c r="E44" s="20" t="str">
        <f t="shared" ca="1" si="4"/>
        <v>N/A</v>
      </c>
      <c r="F44" s="21"/>
    </row>
    <row r="45" spans="1:6" x14ac:dyDescent="0.3">
      <c r="A45" t="s">
        <v>33</v>
      </c>
      <c r="B45">
        <f t="shared" ca="1" si="5"/>
        <v>0</v>
      </c>
      <c r="C45">
        <f t="shared" ca="1" si="6"/>
        <v>0</v>
      </c>
      <c r="D45" s="3">
        <f t="shared" ca="1" si="3"/>
        <v>0</v>
      </c>
      <c r="E45" s="20" t="str">
        <f t="shared" ca="1" si="4"/>
        <v>N/A</v>
      </c>
      <c r="F45" s="21"/>
    </row>
    <row r="46" spans="1:6" x14ac:dyDescent="0.3">
      <c r="A46" t="s">
        <v>34</v>
      </c>
      <c r="B46">
        <f t="shared" ca="1" si="5"/>
        <v>0</v>
      </c>
      <c r="C46">
        <f t="shared" ca="1" si="6"/>
        <v>0</v>
      </c>
      <c r="D46" s="3">
        <f t="shared" ca="1" si="3"/>
        <v>0</v>
      </c>
      <c r="E46" s="20" t="str">
        <f t="shared" ca="1" si="4"/>
        <v>N/A</v>
      </c>
      <c r="F46" s="21" t="s">
        <v>191</v>
      </c>
    </row>
    <row r="47" spans="1:6" x14ac:dyDescent="0.3">
      <c r="A47" t="s">
        <v>35</v>
      </c>
      <c r="B47">
        <f t="shared" ca="1" si="5"/>
        <v>0</v>
      </c>
      <c r="C47">
        <f t="shared" ca="1" si="6"/>
        <v>0</v>
      </c>
      <c r="D47" s="3">
        <f t="shared" ca="1" si="3"/>
        <v>0</v>
      </c>
      <c r="E47" s="20" t="str">
        <f t="shared" ca="1" si="4"/>
        <v>N/A</v>
      </c>
      <c r="F47" s="21" t="s">
        <v>209</v>
      </c>
    </row>
    <row r="48" spans="1:6" x14ac:dyDescent="0.3">
      <c r="A48" t="s">
        <v>36</v>
      </c>
      <c r="B48">
        <f t="shared" ca="1" si="5"/>
        <v>0</v>
      </c>
      <c r="C48">
        <f t="shared" ca="1" si="6"/>
        <v>0</v>
      </c>
      <c r="D48" s="3">
        <f t="shared" ca="1" si="3"/>
        <v>0</v>
      </c>
      <c r="E48" s="20" t="str">
        <f t="shared" ca="1" si="4"/>
        <v>N/A</v>
      </c>
      <c r="F48" s="21"/>
    </row>
    <row r="49" spans="1:6" x14ac:dyDescent="0.3">
      <c r="A49" t="s">
        <v>37</v>
      </c>
      <c r="B49">
        <f t="shared" ca="1" si="5"/>
        <v>0</v>
      </c>
      <c r="C49">
        <f t="shared" ca="1" si="6"/>
        <v>0</v>
      </c>
      <c r="D49" s="3">
        <f t="shared" ca="1" si="3"/>
        <v>0</v>
      </c>
      <c r="E49" s="20" t="str">
        <f t="shared" ca="1" si="4"/>
        <v>N/A</v>
      </c>
      <c r="F49" s="21"/>
    </row>
    <row r="50" spans="1:6" x14ac:dyDescent="0.3">
      <c r="A50" t="s">
        <v>38</v>
      </c>
      <c r="B50">
        <f t="shared" ca="1" si="5"/>
        <v>0</v>
      </c>
      <c r="C50">
        <f t="shared" ca="1" si="6"/>
        <v>0</v>
      </c>
      <c r="D50" s="3">
        <f t="shared" ca="1" si="3"/>
        <v>0</v>
      </c>
      <c r="E50" s="20" t="str">
        <f t="shared" ca="1" si="4"/>
        <v>N/A</v>
      </c>
      <c r="F50" s="21"/>
    </row>
    <row r="51" spans="1:6" x14ac:dyDescent="0.3">
      <c r="A51" t="s">
        <v>39</v>
      </c>
      <c r="B51">
        <f t="shared" ca="1" si="5"/>
        <v>0</v>
      </c>
      <c r="C51">
        <f t="shared" ca="1" si="6"/>
        <v>0</v>
      </c>
      <c r="D51" s="3">
        <f t="shared" ca="1" si="3"/>
        <v>0</v>
      </c>
      <c r="E51" s="20" t="str">
        <f t="shared" ca="1" si="4"/>
        <v>N/A</v>
      </c>
      <c r="F51" s="21"/>
    </row>
    <row r="52" spans="1:6" x14ac:dyDescent="0.3">
      <c r="A52" t="s">
        <v>40</v>
      </c>
      <c r="B52">
        <f t="shared" ca="1" si="5"/>
        <v>0</v>
      </c>
      <c r="C52">
        <f t="shared" ca="1" si="6"/>
        <v>0</v>
      </c>
      <c r="D52" s="3">
        <f t="shared" ca="1" si="3"/>
        <v>0</v>
      </c>
      <c r="E52" s="20" t="str">
        <f t="shared" ca="1" si="4"/>
        <v>N/A</v>
      </c>
      <c r="F52" s="21"/>
    </row>
    <row r="53" spans="1:6" x14ac:dyDescent="0.3">
      <c r="A53" t="s">
        <v>41</v>
      </c>
      <c r="B53">
        <f t="shared" ca="1" si="5"/>
        <v>0</v>
      </c>
      <c r="C53">
        <f t="shared" ca="1" si="6"/>
        <v>0</v>
      </c>
      <c r="D53" s="3">
        <f t="shared" ca="1" si="3"/>
        <v>0</v>
      </c>
      <c r="E53" s="20" t="str">
        <f t="shared" ca="1" si="4"/>
        <v>N/A</v>
      </c>
      <c r="F53" s="21"/>
    </row>
    <row r="54" spans="1:6" x14ac:dyDescent="0.3">
      <c r="A54" t="s">
        <v>198</v>
      </c>
      <c r="B54">
        <f t="shared" ca="1" si="5"/>
        <v>0</v>
      </c>
      <c r="C54">
        <f t="shared" ca="1" si="6"/>
        <v>0</v>
      </c>
      <c r="D54" s="3">
        <f t="shared" ca="1" si="3"/>
        <v>0</v>
      </c>
      <c r="E54" s="20" t="str">
        <f t="shared" ca="1" si="4"/>
        <v>N/A</v>
      </c>
      <c r="F54" s="21"/>
    </row>
    <row r="55" spans="1:6" x14ac:dyDescent="0.3">
      <c r="A55" t="s">
        <v>42</v>
      </c>
      <c r="B55">
        <f t="shared" ca="1" si="5"/>
        <v>0</v>
      </c>
      <c r="C55">
        <f t="shared" ca="1" si="6"/>
        <v>0</v>
      </c>
      <c r="D55" s="3">
        <f t="shared" ca="1" si="3"/>
        <v>0</v>
      </c>
      <c r="E55" s="20" t="str">
        <f t="shared" ca="1" si="4"/>
        <v>N/A</v>
      </c>
      <c r="F55" s="21"/>
    </row>
    <row r="56" spans="1:6" x14ac:dyDescent="0.3">
      <c r="A56" t="s">
        <v>43</v>
      </c>
      <c r="B56">
        <f t="shared" ca="1" si="5"/>
        <v>0</v>
      </c>
      <c r="C56">
        <f t="shared" ca="1" si="6"/>
        <v>0</v>
      </c>
      <c r="D56" s="3">
        <f t="shared" ca="1" si="3"/>
        <v>0</v>
      </c>
      <c r="E56" s="20" t="str">
        <f t="shared" ca="1" si="4"/>
        <v>N/A</v>
      </c>
      <c r="F56" s="21"/>
    </row>
    <row r="57" spans="1:6" x14ac:dyDescent="0.3">
      <c r="A57" t="s">
        <v>44</v>
      </c>
      <c r="B57">
        <f t="shared" ca="1" si="5"/>
        <v>0</v>
      </c>
      <c r="C57">
        <f t="shared" ca="1" si="6"/>
        <v>0</v>
      </c>
      <c r="D57" s="3">
        <f t="shared" ca="1" si="3"/>
        <v>0</v>
      </c>
      <c r="E57" s="20" t="str">
        <f t="shared" ca="1" si="4"/>
        <v>N/A</v>
      </c>
      <c r="F57" s="21"/>
    </row>
    <row r="58" spans="1:6" x14ac:dyDescent="0.3">
      <c r="A58" t="s">
        <v>45</v>
      </c>
      <c r="B58">
        <f t="shared" ca="1" si="5"/>
        <v>0</v>
      </c>
      <c r="C58">
        <f t="shared" ca="1" si="6"/>
        <v>0</v>
      </c>
      <c r="D58" s="3">
        <f t="shared" ca="1" si="3"/>
        <v>0</v>
      </c>
      <c r="E58" s="20" t="str">
        <f t="shared" ca="1" si="4"/>
        <v>N/A</v>
      </c>
      <c r="F58" s="21" t="s">
        <v>173</v>
      </c>
    </row>
    <row r="59" spans="1:6" x14ac:dyDescent="0.3">
      <c r="A59" t="s">
        <v>46</v>
      </c>
      <c r="B59">
        <f t="shared" ca="1" si="5"/>
        <v>0</v>
      </c>
      <c r="C59">
        <f t="shared" ca="1" si="6"/>
        <v>0</v>
      </c>
      <c r="D59" s="3">
        <f t="shared" ca="1" si="3"/>
        <v>0</v>
      </c>
      <c r="E59" s="20" t="str">
        <f t="shared" ca="1" si="4"/>
        <v>N/A</v>
      </c>
      <c r="F59" s="21" t="s">
        <v>174</v>
      </c>
    </row>
    <row r="60" spans="1:6" x14ac:dyDescent="0.3">
      <c r="A60" t="s">
        <v>47</v>
      </c>
      <c r="B60">
        <f t="shared" ca="1" si="5"/>
        <v>0</v>
      </c>
      <c r="C60">
        <f t="shared" ca="1" si="6"/>
        <v>0</v>
      </c>
      <c r="D60" s="3">
        <f t="shared" ca="1" si="3"/>
        <v>0</v>
      </c>
      <c r="E60" s="20" t="str">
        <f t="shared" ca="1" si="4"/>
        <v>N/A</v>
      </c>
      <c r="F60" s="21"/>
    </row>
    <row r="61" spans="1:6" x14ac:dyDescent="0.3">
      <c r="A61" t="s">
        <v>48</v>
      </c>
      <c r="B61">
        <f t="shared" ca="1" si="5"/>
        <v>0</v>
      </c>
      <c r="C61">
        <f t="shared" ca="1" si="6"/>
        <v>0</v>
      </c>
      <c r="D61" s="3">
        <f t="shared" ca="1" si="3"/>
        <v>0</v>
      </c>
      <c r="E61" s="20" t="str">
        <f t="shared" ca="1" si="4"/>
        <v>N/A</v>
      </c>
      <c r="F61" s="21"/>
    </row>
    <row r="62" spans="1:6" x14ac:dyDescent="0.3">
      <c r="A62" t="s">
        <v>49</v>
      </c>
      <c r="B62">
        <f t="shared" ca="1" si="5"/>
        <v>0</v>
      </c>
      <c r="C62">
        <f t="shared" ca="1" si="6"/>
        <v>0</v>
      </c>
      <c r="D62" s="3">
        <f t="shared" ca="1" si="3"/>
        <v>0</v>
      </c>
      <c r="E62" s="20" t="str">
        <f t="shared" ca="1" si="4"/>
        <v>N/A</v>
      </c>
      <c r="F62" s="21" t="s">
        <v>205</v>
      </c>
    </row>
    <row r="63" spans="1:6" x14ac:dyDescent="0.3">
      <c r="A63" t="s">
        <v>50</v>
      </c>
      <c r="B63">
        <f t="shared" ca="1" si="5"/>
        <v>0</v>
      </c>
      <c r="C63">
        <f t="shared" ca="1" si="6"/>
        <v>0</v>
      </c>
      <c r="D63" s="3">
        <f t="shared" ca="1" si="3"/>
        <v>0</v>
      </c>
      <c r="E63" s="20" t="str">
        <f t="shared" ca="1" si="4"/>
        <v>N/A</v>
      </c>
      <c r="F63" s="21"/>
    </row>
    <row r="64" spans="1:6" x14ac:dyDescent="0.3">
      <c r="A64" t="s">
        <v>51</v>
      </c>
      <c r="B64">
        <f t="shared" ca="1" si="5"/>
        <v>0</v>
      </c>
      <c r="C64">
        <f t="shared" ca="1" si="6"/>
        <v>0</v>
      </c>
      <c r="D64" s="3">
        <f t="shared" ca="1" si="3"/>
        <v>0</v>
      </c>
      <c r="E64" s="20" t="str">
        <f t="shared" ca="1" si="4"/>
        <v>N/A</v>
      </c>
      <c r="F64" s="21"/>
    </row>
    <row r="65" spans="1:6" x14ac:dyDescent="0.3">
      <c r="A65" t="s">
        <v>52</v>
      </c>
      <c r="B65">
        <f t="shared" ca="1" si="5"/>
        <v>0</v>
      </c>
      <c r="C65">
        <f t="shared" ca="1" si="6"/>
        <v>0</v>
      </c>
      <c r="D65" s="3">
        <f t="shared" ca="1" si="3"/>
        <v>0</v>
      </c>
      <c r="E65" s="20" t="str">
        <f t="shared" ca="1" si="4"/>
        <v>N/A</v>
      </c>
      <c r="F65" s="21"/>
    </row>
    <row r="66" spans="1:6" x14ac:dyDescent="0.3">
      <c r="A66" t="s">
        <v>53</v>
      </c>
      <c r="B66">
        <f t="shared" ca="1" si="5"/>
        <v>0</v>
      </c>
      <c r="C66">
        <f t="shared" ca="1" si="6"/>
        <v>0</v>
      </c>
      <c r="D66" s="3">
        <f t="shared" ca="1" si="3"/>
        <v>0</v>
      </c>
      <c r="E66" s="20" t="str">
        <f t="shared" ca="1" si="4"/>
        <v>N/A</v>
      </c>
      <c r="F66" s="21" t="s">
        <v>175</v>
      </c>
    </row>
    <row r="67" spans="1:6" x14ac:dyDescent="0.3">
      <c r="A67" t="s">
        <v>54</v>
      </c>
      <c r="B67">
        <f t="shared" ca="1" si="5"/>
        <v>0</v>
      </c>
      <c r="C67">
        <f t="shared" ca="1" si="6"/>
        <v>0</v>
      </c>
      <c r="D67" s="3">
        <f t="shared" ca="1" si="3"/>
        <v>0</v>
      </c>
      <c r="E67" s="20" t="str">
        <f t="shared" ca="1" si="4"/>
        <v>N/A</v>
      </c>
      <c r="F67" s="21"/>
    </row>
    <row r="68" spans="1:6" x14ac:dyDescent="0.3">
      <c r="A68" t="s">
        <v>55</v>
      </c>
      <c r="B68">
        <f t="shared" ca="1" si="5"/>
        <v>0</v>
      </c>
      <c r="C68">
        <f t="shared" ca="1" si="6"/>
        <v>0</v>
      </c>
      <c r="D68" s="3">
        <f t="shared" ca="1" si="3"/>
        <v>0</v>
      </c>
      <c r="E68" s="20" t="str">
        <f t="shared" ca="1" si="4"/>
        <v>N/A</v>
      </c>
      <c r="F68" s="21"/>
    </row>
    <row r="69" spans="1:6" x14ac:dyDescent="0.3">
      <c r="A69" t="s">
        <v>56</v>
      </c>
      <c r="B69">
        <f t="shared" ca="1" si="5"/>
        <v>0</v>
      </c>
      <c r="C69">
        <f t="shared" ca="1" si="6"/>
        <v>0</v>
      </c>
      <c r="D69" s="3">
        <f t="shared" ca="1" si="3"/>
        <v>0</v>
      </c>
      <c r="E69" s="20" t="str">
        <f t="shared" ca="1" si="4"/>
        <v>N/A</v>
      </c>
      <c r="F69" s="21" t="s">
        <v>202</v>
      </c>
    </row>
    <row r="70" spans="1:6" x14ac:dyDescent="0.3">
      <c r="A70" t="s">
        <v>57</v>
      </c>
      <c r="B70">
        <f t="shared" ca="1" si="5"/>
        <v>0</v>
      </c>
      <c r="C70">
        <f t="shared" ca="1" si="6"/>
        <v>0</v>
      </c>
      <c r="D70" s="3">
        <f t="shared" ca="1" si="3"/>
        <v>0</v>
      </c>
      <c r="E70" s="20" t="str">
        <f t="shared" ca="1" si="4"/>
        <v>N/A</v>
      </c>
      <c r="F70" s="21"/>
    </row>
    <row r="71" spans="1:6" x14ac:dyDescent="0.3">
      <c r="A71" t="s">
        <v>58</v>
      </c>
      <c r="B71">
        <f t="shared" ca="1" si="5"/>
        <v>0</v>
      </c>
      <c r="C71">
        <f t="shared" ca="1" si="6"/>
        <v>0</v>
      </c>
      <c r="D71" s="3">
        <f t="shared" ca="1" si="3"/>
        <v>0</v>
      </c>
      <c r="E71" s="20" t="str">
        <f t="shared" ca="1" si="4"/>
        <v>N/A</v>
      </c>
      <c r="F71" s="21"/>
    </row>
    <row r="72" spans="1:6" x14ac:dyDescent="0.3">
      <c r="A72" t="s">
        <v>59</v>
      </c>
      <c r="B72">
        <f t="shared" ca="1" si="5"/>
        <v>0</v>
      </c>
      <c r="C72">
        <f t="shared" ca="1" si="6"/>
        <v>0</v>
      </c>
      <c r="D72" s="3">
        <f t="shared" ca="1" si="3"/>
        <v>0</v>
      </c>
      <c r="E72" s="20" t="str">
        <f t="shared" ca="1" si="4"/>
        <v>N/A</v>
      </c>
      <c r="F72" s="21"/>
    </row>
    <row r="73" spans="1:6" x14ac:dyDescent="0.3">
      <c r="A73" t="s">
        <v>60</v>
      </c>
      <c r="B73">
        <f t="shared" ca="1" si="5"/>
        <v>0</v>
      </c>
      <c r="C73">
        <f t="shared" ca="1" si="6"/>
        <v>0</v>
      </c>
      <c r="D73" s="3">
        <f t="shared" ca="1" si="3"/>
        <v>0</v>
      </c>
      <c r="E73" s="20" t="str">
        <f t="shared" ca="1" si="4"/>
        <v>N/A</v>
      </c>
      <c r="F73" s="21"/>
    </row>
    <row r="74" spans="1:6" x14ac:dyDescent="0.3">
      <c r="A74" t="s">
        <v>61</v>
      </c>
      <c r="B74">
        <f t="shared" ca="1" si="5"/>
        <v>0</v>
      </c>
      <c r="C74">
        <f t="shared" ca="1" si="6"/>
        <v>0</v>
      </c>
      <c r="D74" s="3">
        <f t="shared" ca="1" si="3"/>
        <v>0</v>
      </c>
      <c r="E74" s="20" t="str">
        <f t="shared" ca="1" si="4"/>
        <v>N/A</v>
      </c>
      <c r="F74" s="21"/>
    </row>
    <row r="75" spans="1:6" x14ac:dyDescent="0.3">
      <c r="A75" t="s">
        <v>62</v>
      </c>
      <c r="B75">
        <f t="shared" ca="1" si="5"/>
        <v>0</v>
      </c>
      <c r="C75">
        <f t="shared" ca="1" si="6"/>
        <v>0</v>
      </c>
      <c r="D75" s="3">
        <f t="shared" ca="1" si="3"/>
        <v>0</v>
      </c>
      <c r="E75" s="20" t="str">
        <f t="shared" ca="1" si="4"/>
        <v>N/A</v>
      </c>
      <c r="F75" s="21"/>
    </row>
    <row r="76" spans="1:6" x14ac:dyDescent="0.3">
      <c r="A76" t="s">
        <v>63</v>
      </c>
      <c r="B76">
        <f t="shared" ref="B76:B107" ca="1" si="7">IFERROR(
 SUMPRODUCT((GameListChampion=$B$1)*(OR(GameListMode="Normal",GameListMode="Ranked"))*(GameListLaneOpponent=$A76)),0
)</f>
        <v>0</v>
      </c>
      <c r="C76">
        <f t="shared" ref="C76:C107" ca="1" si="8">IFERROR(
 SUMPRODUCT((GameListChampion=$B$1)*(OR(GameListMode="Normal",GameListMode="Ranked"))*(GameListLaneOpponent=$A76)*GameListWinLoss),0
)</f>
        <v>0</v>
      </c>
      <c r="D76" s="3">
        <f t="shared" ca="1" si="3"/>
        <v>0</v>
      </c>
      <c r="E76" s="20" t="str">
        <f t="shared" ca="1" si="4"/>
        <v>N/A</v>
      </c>
      <c r="F76" s="21"/>
    </row>
    <row r="77" spans="1:6" x14ac:dyDescent="0.3">
      <c r="A77" t="s">
        <v>64</v>
      </c>
      <c r="B77">
        <f t="shared" ca="1" si="7"/>
        <v>0</v>
      </c>
      <c r="C77">
        <f t="shared" ca="1" si="8"/>
        <v>0</v>
      </c>
      <c r="D77" s="3">
        <f t="shared" ref="D77:D140" ca="1" si="9">IF(B77=0,0,B77/SUM($B$12:$B$140))</f>
        <v>0</v>
      </c>
      <c r="E77" s="20" t="str">
        <f t="shared" ref="E77:E140" ca="1" si="10">IF(B77=0,"N/A",C77/B77)</f>
        <v>N/A</v>
      </c>
      <c r="F77" s="21"/>
    </row>
    <row r="78" spans="1:6" x14ac:dyDescent="0.3">
      <c r="A78" t="s">
        <v>65</v>
      </c>
      <c r="B78">
        <f t="shared" ca="1" si="7"/>
        <v>0</v>
      </c>
      <c r="C78">
        <f t="shared" ca="1" si="8"/>
        <v>0</v>
      </c>
      <c r="D78" s="3">
        <f t="shared" ca="1" si="9"/>
        <v>0</v>
      </c>
      <c r="E78" s="20" t="str">
        <f t="shared" ca="1" si="10"/>
        <v>N/A</v>
      </c>
      <c r="F78" s="21"/>
    </row>
    <row r="79" spans="1:6" x14ac:dyDescent="0.3">
      <c r="A79" t="s">
        <v>66</v>
      </c>
      <c r="B79">
        <f t="shared" ca="1" si="7"/>
        <v>0</v>
      </c>
      <c r="C79">
        <f t="shared" ca="1" si="8"/>
        <v>0</v>
      </c>
      <c r="D79" s="3">
        <f t="shared" ca="1" si="9"/>
        <v>0</v>
      </c>
      <c r="E79" s="20" t="str">
        <f t="shared" ca="1" si="10"/>
        <v>N/A</v>
      </c>
      <c r="F79" s="21"/>
    </row>
    <row r="80" spans="1:6" x14ac:dyDescent="0.3">
      <c r="A80" t="s">
        <v>67</v>
      </c>
      <c r="B80">
        <f t="shared" ca="1" si="7"/>
        <v>0</v>
      </c>
      <c r="C80">
        <f t="shared" ca="1" si="8"/>
        <v>0</v>
      </c>
      <c r="D80" s="3">
        <f t="shared" ca="1" si="9"/>
        <v>0</v>
      </c>
      <c r="E80" s="20" t="str">
        <f t="shared" ca="1" si="10"/>
        <v>N/A</v>
      </c>
      <c r="F80" s="21"/>
    </row>
    <row r="81" spans="1:6" x14ac:dyDescent="0.3">
      <c r="A81" t="s">
        <v>68</v>
      </c>
      <c r="B81">
        <f t="shared" ca="1" si="7"/>
        <v>0</v>
      </c>
      <c r="C81">
        <f t="shared" ca="1" si="8"/>
        <v>0</v>
      </c>
      <c r="D81" s="3">
        <f t="shared" ca="1" si="9"/>
        <v>0</v>
      </c>
      <c r="E81" s="20" t="str">
        <f t="shared" ca="1" si="10"/>
        <v>N/A</v>
      </c>
      <c r="F81" s="21"/>
    </row>
    <row r="82" spans="1:6" x14ac:dyDescent="0.3">
      <c r="A82" t="s">
        <v>69</v>
      </c>
      <c r="B82">
        <f t="shared" ca="1" si="7"/>
        <v>0</v>
      </c>
      <c r="C82">
        <f t="shared" ca="1" si="8"/>
        <v>0</v>
      </c>
      <c r="D82" s="3">
        <f t="shared" ca="1" si="9"/>
        <v>0</v>
      </c>
      <c r="E82" s="20" t="str">
        <f t="shared" ca="1" si="10"/>
        <v>N/A</v>
      </c>
      <c r="F82" s="21"/>
    </row>
    <row r="83" spans="1:6" x14ac:dyDescent="0.3">
      <c r="A83" t="s">
        <v>70</v>
      </c>
      <c r="B83">
        <f t="shared" ca="1" si="7"/>
        <v>0</v>
      </c>
      <c r="C83">
        <f t="shared" ca="1" si="8"/>
        <v>0</v>
      </c>
      <c r="D83" s="3">
        <f t="shared" ca="1" si="9"/>
        <v>0</v>
      </c>
      <c r="E83" s="20" t="str">
        <f t="shared" ca="1" si="10"/>
        <v>N/A</v>
      </c>
      <c r="F83" s="21" t="s">
        <v>179</v>
      </c>
    </row>
    <row r="84" spans="1:6" x14ac:dyDescent="0.3">
      <c r="A84" t="s">
        <v>71</v>
      </c>
      <c r="B84">
        <f t="shared" ca="1" si="7"/>
        <v>0</v>
      </c>
      <c r="C84">
        <f t="shared" ca="1" si="8"/>
        <v>0</v>
      </c>
      <c r="D84" s="3">
        <f t="shared" ca="1" si="9"/>
        <v>0</v>
      </c>
      <c r="E84" s="20" t="str">
        <f t="shared" ca="1" si="10"/>
        <v>N/A</v>
      </c>
      <c r="F84" s="21"/>
    </row>
    <row r="85" spans="1:6" x14ac:dyDescent="0.3">
      <c r="A85" t="s">
        <v>72</v>
      </c>
      <c r="B85">
        <f t="shared" ca="1" si="7"/>
        <v>0</v>
      </c>
      <c r="C85">
        <f t="shared" ca="1" si="8"/>
        <v>0</v>
      </c>
      <c r="D85" s="3">
        <f t="shared" ca="1" si="9"/>
        <v>0</v>
      </c>
      <c r="E85" s="20" t="str">
        <f t="shared" ca="1" si="10"/>
        <v>N/A</v>
      </c>
      <c r="F85" s="21"/>
    </row>
    <row r="86" spans="1:6" x14ac:dyDescent="0.3">
      <c r="A86" t="s">
        <v>73</v>
      </c>
      <c r="B86">
        <f t="shared" ca="1" si="7"/>
        <v>0</v>
      </c>
      <c r="C86">
        <f t="shared" ca="1" si="8"/>
        <v>0</v>
      </c>
      <c r="D86" s="3">
        <f t="shared" ca="1" si="9"/>
        <v>0</v>
      </c>
      <c r="E86" s="20" t="str">
        <f t="shared" ca="1" si="10"/>
        <v>N/A</v>
      </c>
      <c r="F86" s="21"/>
    </row>
    <row r="87" spans="1:6" x14ac:dyDescent="0.3">
      <c r="A87" t="s">
        <v>74</v>
      </c>
      <c r="B87">
        <f t="shared" ca="1" si="7"/>
        <v>0</v>
      </c>
      <c r="C87">
        <f t="shared" ca="1" si="8"/>
        <v>0</v>
      </c>
      <c r="D87" s="3">
        <f t="shared" ca="1" si="9"/>
        <v>0</v>
      </c>
      <c r="E87" s="20" t="str">
        <f t="shared" ca="1" si="10"/>
        <v>N/A</v>
      </c>
      <c r="F87" s="21"/>
    </row>
    <row r="88" spans="1:6" x14ac:dyDescent="0.3">
      <c r="A88" t="s">
        <v>75</v>
      </c>
      <c r="B88">
        <f t="shared" ca="1" si="7"/>
        <v>0</v>
      </c>
      <c r="C88">
        <f t="shared" ca="1" si="8"/>
        <v>0</v>
      </c>
      <c r="D88" s="3">
        <f t="shared" ca="1" si="9"/>
        <v>0</v>
      </c>
      <c r="E88" s="20" t="str">
        <f t="shared" ca="1" si="10"/>
        <v>N/A</v>
      </c>
      <c r="F88" s="21"/>
    </row>
    <row r="89" spans="1:6" x14ac:dyDescent="0.3">
      <c r="A89" t="s">
        <v>76</v>
      </c>
      <c r="B89">
        <f t="shared" ca="1" si="7"/>
        <v>0</v>
      </c>
      <c r="C89">
        <f t="shared" ca="1" si="8"/>
        <v>0</v>
      </c>
      <c r="D89" s="3">
        <f t="shared" ca="1" si="9"/>
        <v>0</v>
      </c>
      <c r="E89" s="20" t="str">
        <f t="shared" ca="1" si="10"/>
        <v>N/A</v>
      </c>
      <c r="F89" s="21"/>
    </row>
    <row r="90" spans="1:6" x14ac:dyDescent="0.3">
      <c r="A90" t="s">
        <v>77</v>
      </c>
      <c r="B90">
        <f t="shared" ca="1" si="7"/>
        <v>0</v>
      </c>
      <c r="C90">
        <f t="shared" ca="1" si="8"/>
        <v>0</v>
      </c>
      <c r="D90" s="3">
        <f t="shared" ca="1" si="9"/>
        <v>0</v>
      </c>
      <c r="E90" s="20" t="str">
        <f t="shared" ca="1" si="10"/>
        <v>N/A</v>
      </c>
      <c r="F90" s="21"/>
    </row>
    <row r="91" spans="1:6" x14ac:dyDescent="0.3">
      <c r="A91" t="s">
        <v>78</v>
      </c>
      <c r="B91">
        <f t="shared" ca="1" si="7"/>
        <v>0</v>
      </c>
      <c r="C91">
        <f t="shared" ca="1" si="8"/>
        <v>0</v>
      </c>
      <c r="D91" s="3">
        <f t="shared" ca="1" si="9"/>
        <v>0</v>
      </c>
      <c r="E91" s="20" t="str">
        <f t="shared" ca="1" si="10"/>
        <v>N/A</v>
      </c>
      <c r="F91" s="21"/>
    </row>
    <row r="92" spans="1:6" x14ac:dyDescent="0.3">
      <c r="A92" t="s">
        <v>79</v>
      </c>
      <c r="B92">
        <f t="shared" ca="1" si="7"/>
        <v>0</v>
      </c>
      <c r="C92">
        <f t="shared" ca="1" si="8"/>
        <v>0</v>
      </c>
      <c r="D92" s="3">
        <f t="shared" ca="1" si="9"/>
        <v>0</v>
      </c>
      <c r="E92" s="20" t="str">
        <f t="shared" ca="1" si="10"/>
        <v>N/A</v>
      </c>
      <c r="F92" s="21"/>
    </row>
    <row r="93" spans="1:6" x14ac:dyDescent="0.3">
      <c r="A93" t="s">
        <v>80</v>
      </c>
      <c r="B93">
        <f t="shared" ca="1" si="7"/>
        <v>0</v>
      </c>
      <c r="C93">
        <f t="shared" ca="1" si="8"/>
        <v>0</v>
      </c>
      <c r="D93" s="3">
        <f t="shared" ca="1" si="9"/>
        <v>0</v>
      </c>
      <c r="E93" s="20" t="str">
        <f t="shared" ca="1" si="10"/>
        <v>N/A</v>
      </c>
      <c r="F93" s="21" t="s">
        <v>185</v>
      </c>
    </row>
    <row r="94" spans="1:6" x14ac:dyDescent="0.3">
      <c r="A94" t="s">
        <v>81</v>
      </c>
      <c r="B94">
        <f t="shared" ca="1" si="7"/>
        <v>0</v>
      </c>
      <c r="C94">
        <f t="shared" ca="1" si="8"/>
        <v>0</v>
      </c>
      <c r="D94" s="3">
        <f t="shared" ca="1" si="9"/>
        <v>0</v>
      </c>
      <c r="E94" s="20" t="str">
        <f t="shared" ca="1" si="10"/>
        <v>N/A</v>
      </c>
      <c r="F94" s="21"/>
    </row>
    <row r="95" spans="1:6" x14ac:dyDescent="0.3">
      <c r="A95" t="s">
        <v>82</v>
      </c>
      <c r="B95">
        <f t="shared" ca="1" si="7"/>
        <v>0</v>
      </c>
      <c r="C95">
        <f t="shared" ca="1" si="8"/>
        <v>0</v>
      </c>
      <c r="D95" s="3">
        <f t="shared" ca="1" si="9"/>
        <v>0</v>
      </c>
      <c r="E95" s="20" t="str">
        <f t="shared" ca="1" si="10"/>
        <v>N/A</v>
      </c>
      <c r="F95" s="21"/>
    </row>
    <row r="96" spans="1:6" x14ac:dyDescent="0.3">
      <c r="A96" t="s">
        <v>83</v>
      </c>
      <c r="B96">
        <f t="shared" ca="1" si="7"/>
        <v>0</v>
      </c>
      <c r="C96">
        <f t="shared" ca="1" si="8"/>
        <v>0</v>
      </c>
      <c r="D96" s="3">
        <f t="shared" ca="1" si="9"/>
        <v>0</v>
      </c>
      <c r="E96" s="20" t="str">
        <f t="shared" ca="1" si="10"/>
        <v>N/A</v>
      </c>
      <c r="F96" s="21"/>
    </row>
    <row r="97" spans="1:6" x14ac:dyDescent="0.3">
      <c r="A97" t="s">
        <v>84</v>
      </c>
      <c r="B97">
        <f t="shared" ca="1" si="7"/>
        <v>0</v>
      </c>
      <c r="C97">
        <f t="shared" ca="1" si="8"/>
        <v>0</v>
      </c>
      <c r="D97" s="3">
        <f t="shared" ca="1" si="9"/>
        <v>0</v>
      </c>
      <c r="E97" s="20" t="str">
        <f t="shared" ca="1" si="10"/>
        <v>N/A</v>
      </c>
      <c r="F97" s="21"/>
    </row>
    <row r="98" spans="1:6" x14ac:dyDescent="0.3">
      <c r="A98" t="s">
        <v>85</v>
      </c>
      <c r="B98">
        <f t="shared" ca="1" si="7"/>
        <v>0</v>
      </c>
      <c r="C98">
        <f t="shared" ca="1" si="8"/>
        <v>0</v>
      </c>
      <c r="D98" s="3">
        <f t="shared" ca="1" si="9"/>
        <v>0</v>
      </c>
      <c r="E98" s="20" t="str">
        <f t="shared" ca="1" si="10"/>
        <v>N/A</v>
      </c>
      <c r="F98" s="21"/>
    </row>
    <row r="99" spans="1:6" x14ac:dyDescent="0.3">
      <c r="A99" t="s">
        <v>86</v>
      </c>
      <c r="B99">
        <f t="shared" ca="1" si="7"/>
        <v>0</v>
      </c>
      <c r="C99">
        <f t="shared" ca="1" si="8"/>
        <v>0</v>
      </c>
      <c r="D99" s="3">
        <f t="shared" ca="1" si="9"/>
        <v>0</v>
      </c>
      <c r="E99" s="20" t="str">
        <f t="shared" ca="1" si="10"/>
        <v>N/A</v>
      </c>
      <c r="F99" s="21"/>
    </row>
    <row r="100" spans="1:6" x14ac:dyDescent="0.3">
      <c r="A100" t="s">
        <v>87</v>
      </c>
      <c r="B100">
        <f t="shared" ca="1" si="7"/>
        <v>0</v>
      </c>
      <c r="C100">
        <f t="shared" ca="1" si="8"/>
        <v>0</v>
      </c>
      <c r="D100" s="3">
        <f t="shared" ca="1" si="9"/>
        <v>0</v>
      </c>
      <c r="E100" s="20" t="str">
        <f t="shared" ca="1" si="10"/>
        <v>N/A</v>
      </c>
      <c r="F100" s="21"/>
    </row>
    <row r="101" spans="1:6" x14ac:dyDescent="0.3">
      <c r="A101" t="s">
        <v>88</v>
      </c>
      <c r="B101">
        <f t="shared" ca="1" si="7"/>
        <v>0</v>
      </c>
      <c r="C101">
        <f t="shared" ca="1" si="8"/>
        <v>0</v>
      </c>
      <c r="D101" s="3">
        <f t="shared" ca="1" si="9"/>
        <v>0</v>
      </c>
      <c r="E101" s="20" t="str">
        <f t="shared" ca="1" si="10"/>
        <v>N/A</v>
      </c>
      <c r="F101" s="21"/>
    </row>
    <row r="102" spans="1:6" x14ac:dyDescent="0.3">
      <c r="A102" t="s">
        <v>89</v>
      </c>
      <c r="B102">
        <f t="shared" ca="1" si="7"/>
        <v>0</v>
      </c>
      <c r="C102">
        <f t="shared" ca="1" si="8"/>
        <v>0</v>
      </c>
      <c r="D102" s="3">
        <f t="shared" ca="1" si="9"/>
        <v>0</v>
      </c>
      <c r="E102" s="20" t="str">
        <f t="shared" ca="1" si="10"/>
        <v>N/A</v>
      </c>
      <c r="F102" s="21"/>
    </row>
    <row r="103" spans="1:6" x14ac:dyDescent="0.3">
      <c r="A103" t="s">
        <v>90</v>
      </c>
      <c r="B103">
        <f t="shared" ca="1" si="7"/>
        <v>0</v>
      </c>
      <c r="C103">
        <f t="shared" ca="1" si="8"/>
        <v>0</v>
      </c>
      <c r="D103" s="3">
        <f t="shared" ca="1" si="9"/>
        <v>0</v>
      </c>
      <c r="E103" s="20" t="str">
        <f t="shared" ca="1" si="10"/>
        <v>N/A</v>
      </c>
      <c r="F103" s="21" t="s">
        <v>186</v>
      </c>
    </row>
    <row r="104" spans="1:6" x14ac:dyDescent="0.3">
      <c r="A104" t="s">
        <v>91</v>
      </c>
      <c r="B104">
        <f t="shared" ca="1" si="7"/>
        <v>0</v>
      </c>
      <c r="C104">
        <f t="shared" ca="1" si="8"/>
        <v>0</v>
      </c>
      <c r="D104" s="3">
        <f t="shared" ca="1" si="9"/>
        <v>0</v>
      </c>
      <c r="E104" s="20" t="str">
        <f t="shared" ca="1" si="10"/>
        <v>N/A</v>
      </c>
      <c r="F104" s="21"/>
    </row>
    <row r="105" spans="1:6" x14ac:dyDescent="0.3">
      <c r="A105" t="s">
        <v>92</v>
      </c>
      <c r="B105">
        <f t="shared" ca="1" si="7"/>
        <v>0</v>
      </c>
      <c r="C105">
        <f t="shared" ca="1" si="8"/>
        <v>0</v>
      </c>
      <c r="D105" s="3">
        <f t="shared" ca="1" si="9"/>
        <v>0</v>
      </c>
      <c r="E105" s="20" t="str">
        <f t="shared" ca="1" si="10"/>
        <v>N/A</v>
      </c>
      <c r="F105" s="21"/>
    </row>
    <row r="106" spans="1:6" x14ac:dyDescent="0.3">
      <c r="A106" t="s">
        <v>93</v>
      </c>
      <c r="B106">
        <f t="shared" ca="1" si="7"/>
        <v>0</v>
      </c>
      <c r="C106">
        <f t="shared" ca="1" si="8"/>
        <v>0</v>
      </c>
      <c r="D106" s="3">
        <f t="shared" ca="1" si="9"/>
        <v>0</v>
      </c>
      <c r="E106" s="20" t="str">
        <f t="shared" ca="1" si="10"/>
        <v>N/A</v>
      </c>
      <c r="F106" s="21"/>
    </row>
    <row r="107" spans="1:6" x14ac:dyDescent="0.3">
      <c r="A107" t="s">
        <v>94</v>
      </c>
      <c r="B107">
        <f t="shared" ca="1" si="7"/>
        <v>0</v>
      </c>
      <c r="C107">
        <f t="shared" ca="1" si="8"/>
        <v>0</v>
      </c>
      <c r="D107" s="3">
        <f t="shared" ca="1" si="9"/>
        <v>0</v>
      </c>
      <c r="E107" s="20" t="str">
        <f t="shared" ca="1" si="10"/>
        <v>N/A</v>
      </c>
      <c r="F107" s="21"/>
    </row>
    <row r="108" spans="1:6" x14ac:dyDescent="0.3">
      <c r="A108" t="s">
        <v>95</v>
      </c>
      <c r="B108">
        <f t="shared" ref="B108:B140" ca="1" si="11">IFERROR(
 SUMPRODUCT((GameListChampion=$B$1)*(OR(GameListMode="Normal",GameListMode="Ranked"))*(GameListLaneOpponent=$A108)),0
)</f>
        <v>0</v>
      </c>
      <c r="C108">
        <f t="shared" ref="C108:C140" ca="1" si="12">IFERROR(
 SUMPRODUCT((GameListChampion=$B$1)*(OR(GameListMode="Normal",GameListMode="Ranked"))*(GameListLaneOpponent=$A108)*GameListWinLoss),0
)</f>
        <v>0</v>
      </c>
      <c r="D108" s="3">
        <f t="shared" ca="1" si="9"/>
        <v>0</v>
      </c>
      <c r="E108" s="20" t="str">
        <f t="shared" ca="1" si="10"/>
        <v>N/A</v>
      </c>
      <c r="F108" s="21"/>
    </row>
    <row r="109" spans="1:6" x14ac:dyDescent="0.3">
      <c r="A109" t="s">
        <v>96</v>
      </c>
      <c r="B109">
        <f t="shared" ca="1" si="11"/>
        <v>0</v>
      </c>
      <c r="C109">
        <f t="shared" ca="1" si="12"/>
        <v>0</v>
      </c>
      <c r="D109" s="3">
        <f t="shared" ca="1" si="9"/>
        <v>0</v>
      </c>
      <c r="E109" s="20" t="str">
        <f t="shared" ca="1" si="10"/>
        <v>N/A</v>
      </c>
      <c r="F109" s="21"/>
    </row>
    <row r="110" spans="1:6" x14ac:dyDescent="0.3">
      <c r="A110" t="s">
        <v>97</v>
      </c>
      <c r="B110">
        <f t="shared" ca="1" si="11"/>
        <v>0</v>
      </c>
      <c r="C110">
        <f t="shared" ca="1" si="12"/>
        <v>0</v>
      </c>
      <c r="D110" s="3">
        <f t="shared" ca="1" si="9"/>
        <v>0</v>
      </c>
      <c r="E110" s="20" t="str">
        <f t="shared" ca="1" si="10"/>
        <v>N/A</v>
      </c>
      <c r="F110" s="21"/>
    </row>
    <row r="111" spans="1:6" x14ac:dyDescent="0.3">
      <c r="A111" t="s">
        <v>98</v>
      </c>
      <c r="B111">
        <f t="shared" ca="1" si="11"/>
        <v>0</v>
      </c>
      <c r="C111">
        <f t="shared" ca="1" si="12"/>
        <v>0</v>
      </c>
      <c r="D111" s="3">
        <f t="shared" ca="1" si="9"/>
        <v>0</v>
      </c>
      <c r="E111" s="20" t="str">
        <f t="shared" ca="1" si="10"/>
        <v>N/A</v>
      </c>
      <c r="F111" s="21"/>
    </row>
    <row r="112" spans="1:6" x14ac:dyDescent="0.3">
      <c r="A112" t="s">
        <v>99</v>
      </c>
      <c r="B112">
        <f t="shared" ca="1" si="11"/>
        <v>0</v>
      </c>
      <c r="C112">
        <f t="shared" ca="1" si="12"/>
        <v>0</v>
      </c>
      <c r="D112" s="3">
        <f t="shared" ca="1" si="9"/>
        <v>0</v>
      </c>
      <c r="E112" s="20" t="str">
        <f t="shared" ca="1" si="10"/>
        <v>N/A</v>
      </c>
      <c r="F112" s="21"/>
    </row>
    <row r="113" spans="1:6" x14ac:dyDescent="0.3">
      <c r="A113" t="s">
        <v>100</v>
      </c>
      <c r="B113">
        <f t="shared" ca="1" si="11"/>
        <v>0</v>
      </c>
      <c r="C113">
        <f t="shared" ca="1" si="12"/>
        <v>0</v>
      </c>
      <c r="D113" s="3">
        <f t="shared" ca="1" si="9"/>
        <v>0</v>
      </c>
      <c r="E113" s="20" t="str">
        <f t="shared" ca="1" si="10"/>
        <v>N/A</v>
      </c>
      <c r="F113" s="21"/>
    </row>
    <row r="114" spans="1:6" x14ac:dyDescent="0.3">
      <c r="A114" t="s">
        <v>101</v>
      </c>
      <c r="B114">
        <f t="shared" ca="1" si="11"/>
        <v>0</v>
      </c>
      <c r="C114">
        <f t="shared" ca="1" si="12"/>
        <v>0</v>
      </c>
      <c r="D114" s="3">
        <f t="shared" ca="1" si="9"/>
        <v>0</v>
      </c>
      <c r="E114" s="20" t="str">
        <f t="shared" ca="1" si="10"/>
        <v>N/A</v>
      </c>
      <c r="F114" s="21"/>
    </row>
    <row r="115" spans="1:6" x14ac:dyDescent="0.3">
      <c r="A115" t="s">
        <v>102</v>
      </c>
      <c r="B115">
        <f t="shared" ca="1" si="11"/>
        <v>0</v>
      </c>
      <c r="C115">
        <f t="shared" ca="1" si="12"/>
        <v>0</v>
      </c>
      <c r="D115" s="3">
        <f t="shared" ca="1" si="9"/>
        <v>0</v>
      </c>
      <c r="E115" s="20" t="str">
        <f t="shared" ca="1" si="10"/>
        <v>N/A</v>
      </c>
      <c r="F115" s="21"/>
    </row>
    <row r="116" spans="1:6" x14ac:dyDescent="0.3">
      <c r="A116" t="s">
        <v>103</v>
      </c>
      <c r="B116">
        <f t="shared" ca="1" si="11"/>
        <v>0</v>
      </c>
      <c r="C116">
        <f t="shared" ca="1" si="12"/>
        <v>0</v>
      </c>
      <c r="D116" s="3">
        <f t="shared" ca="1" si="9"/>
        <v>0</v>
      </c>
      <c r="E116" s="20" t="str">
        <f t="shared" ca="1" si="10"/>
        <v>N/A</v>
      </c>
      <c r="F116" s="21"/>
    </row>
    <row r="117" spans="1:6" x14ac:dyDescent="0.3">
      <c r="A117" t="s">
        <v>104</v>
      </c>
      <c r="B117">
        <f t="shared" ca="1" si="11"/>
        <v>0</v>
      </c>
      <c r="C117">
        <f t="shared" ca="1" si="12"/>
        <v>0</v>
      </c>
      <c r="D117" s="3">
        <f t="shared" ca="1" si="9"/>
        <v>0</v>
      </c>
      <c r="E117" s="20" t="str">
        <f t="shared" ca="1" si="10"/>
        <v>N/A</v>
      </c>
      <c r="F117" s="21"/>
    </row>
    <row r="118" spans="1:6" x14ac:dyDescent="0.3">
      <c r="A118" t="s">
        <v>105</v>
      </c>
      <c r="B118">
        <f t="shared" ca="1" si="11"/>
        <v>0</v>
      </c>
      <c r="C118">
        <f t="shared" ca="1" si="12"/>
        <v>0</v>
      </c>
      <c r="D118" s="3">
        <f t="shared" ca="1" si="9"/>
        <v>0</v>
      </c>
      <c r="E118" s="20" t="str">
        <f t="shared" ca="1" si="10"/>
        <v>N/A</v>
      </c>
      <c r="F118" s="21"/>
    </row>
    <row r="119" spans="1:6" x14ac:dyDescent="0.3">
      <c r="A119" t="s">
        <v>106</v>
      </c>
      <c r="B119">
        <f t="shared" ca="1" si="11"/>
        <v>0</v>
      </c>
      <c r="C119">
        <f t="shared" ca="1" si="12"/>
        <v>0</v>
      </c>
      <c r="D119" s="3">
        <f t="shared" ca="1" si="9"/>
        <v>0</v>
      </c>
      <c r="E119" s="20" t="str">
        <f t="shared" ca="1" si="10"/>
        <v>N/A</v>
      </c>
      <c r="F119" s="21"/>
    </row>
    <row r="120" spans="1:6" x14ac:dyDescent="0.3">
      <c r="A120" t="s">
        <v>107</v>
      </c>
      <c r="B120">
        <f t="shared" ca="1" si="11"/>
        <v>0</v>
      </c>
      <c r="C120">
        <f t="shared" ca="1" si="12"/>
        <v>0</v>
      </c>
      <c r="D120" s="3">
        <f t="shared" ca="1" si="9"/>
        <v>0</v>
      </c>
      <c r="E120" s="20" t="str">
        <f t="shared" ca="1" si="10"/>
        <v>N/A</v>
      </c>
      <c r="F120" s="21"/>
    </row>
    <row r="121" spans="1:6" x14ac:dyDescent="0.3">
      <c r="A121" t="s">
        <v>108</v>
      </c>
      <c r="B121">
        <f t="shared" ca="1" si="11"/>
        <v>0</v>
      </c>
      <c r="C121">
        <f t="shared" ca="1" si="12"/>
        <v>0</v>
      </c>
      <c r="D121" s="3">
        <f t="shared" ca="1" si="9"/>
        <v>0</v>
      </c>
      <c r="E121" s="20" t="str">
        <f t="shared" ca="1" si="10"/>
        <v>N/A</v>
      </c>
      <c r="F121" s="21"/>
    </row>
    <row r="122" spans="1:6" x14ac:dyDescent="0.3">
      <c r="A122" t="s">
        <v>109</v>
      </c>
      <c r="B122">
        <f t="shared" ca="1" si="11"/>
        <v>0</v>
      </c>
      <c r="C122">
        <f t="shared" ca="1" si="12"/>
        <v>0</v>
      </c>
      <c r="D122" s="3">
        <f t="shared" ca="1" si="9"/>
        <v>0</v>
      </c>
      <c r="E122" s="20" t="str">
        <f t="shared" ca="1" si="10"/>
        <v>N/A</v>
      </c>
      <c r="F122" s="21"/>
    </row>
    <row r="123" spans="1:6" x14ac:dyDescent="0.3">
      <c r="A123" t="s">
        <v>110</v>
      </c>
      <c r="B123">
        <f t="shared" ca="1" si="11"/>
        <v>0</v>
      </c>
      <c r="C123">
        <f t="shared" ca="1" si="12"/>
        <v>0</v>
      </c>
      <c r="D123" s="3">
        <f t="shared" ca="1" si="9"/>
        <v>0</v>
      </c>
      <c r="E123" s="20" t="str">
        <f t="shared" ca="1" si="10"/>
        <v>N/A</v>
      </c>
      <c r="F123" s="21"/>
    </row>
    <row r="124" spans="1:6" x14ac:dyDescent="0.3">
      <c r="A124" t="s">
        <v>111</v>
      </c>
      <c r="B124">
        <f t="shared" ca="1" si="11"/>
        <v>0</v>
      </c>
      <c r="C124">
        <f t="shared" ca="1" si="12"/>
        <v>0</v>
      </c>
      <c r="D124" s="3">
        <f t="shared" ca="1" si="9"/>
        <v>0</v>
      </c>
      <c r="E124" s="20" t="str">
        <f t="shared" ca="1" si="10"/>
        <v>N/A</v>
      </c>
      <c r="F124" s="21"/>
    </row>
    <row r="125" spans="1:6" x14ac:dyDescent="0.3">
      <c r="A125" t="s">
        <v>112</v>
      </c>
      <c r="B125">
        <f t="shared" ca="1" si="11"/>
        <v>0</v>
      </c>
      <c r="C125">
        <f t="shared" ca="1" si="12"/>
        <v>0</v>
      </c>
      <c r="D125" s="3">
        <f t="shared" ca="1" si="9"/>
        <v>0</v>
      </c>
      <c r="E125" s="20" t="str">
        <f t="shared" ca="1" si="10"/>
        <v>N/A</v>
      </c>
      <c r="F125" s="21"/>
    </row>
    <row r="126" spans="1:6" x14ac:dyDescent="0.3">
      <c r="A126" t="s">
        <v>113</v>
      </c>
      <c r="B126">
        <f t="shared" ca="1" si="11"/>
        <v>0</v>
      </c>
      <c r="C126">
        <f t="shared" ca="1" si="12"/>
        <v>0</v>
      </c>
      <c r="D126" s="3">
        <f t="shared" ca="1" si="9"/>
        <v>0</v>
      </c>
      <c r="E126" s="20" t="str">
        <f t="shared" ca="1" si="10"/>
        <v>N/A</v>
      </c>
      <c r="F126" s="21"/>
    </row>
    <row r="127" spans="1:6" x14ac:dyDescent="0.3">
      <c r="A127" t="s">
        <v>114</v>
      </c>
      <c r="B127">
        <f t="shared" ca="1" si="11"/>
        <v>0</v>
      </c>
      <c r="C127">
        <f t="shared" ca="1" si="12"/>
        <v>0</v>
      </c>
      <c r="D127" s="3">
        <f t="shared" ca="1" si="9"/>
        <v>0</v>
      </c>
      <c r="E127" s="20" t="str">
        <f t="shared" ca="1" si="10"/>
        <v>N/A</v>
      </c>
      <c r="F127" s="21"/>
    </row>
    <row r="128" spans="1:6" x14ac:dyDescent="0.3">
      <c r="A128" t="s">
        <v>115</v>
      </c>
      <c r="B128">
        <f t="shared" ca="1" si="11"/>
        <v>0</v>
      </c>
      <c r="C128">
        <f t="shared" ca="1" si="12"/>
        <v>0</v>
      </c>
      <c r="D128" s="3">
        <f t="shared" ca="1" si="9"/>
        <v>0</v>
      </c>
      <c r="E128" s="20" t="str">
        <f t="shared" ca="1" si="10"/>
        <v>N/A</v>
      </c>
      <c r="F128" s="21"/>
    </row>
    <row r="129" spans="1:6" x14ac:dyDescent="0.3">
      <c r="A129" t="s">
        <v>116</v>
      </c>
      <c r="B129">
        <f t="shared" ca="1" si="11"/>
        <v>0</v>
      </c>
      <c r="C129">
        <f t="shared" ca="1" si="12"/>
        <v>0</v>
      </c>
      <c r="D129" s="3">
        <f t="shared" ca="1" si="9"/>
        <v>0</v>
      </c>
      <c r="E129" s="20" t="str">
        <f t="shared" ca="1" si="10"/>
        <v>N/A</v>
      </c>
      <c r="F129" s="21"/>
    </row>
    <row r="130" spans="1:6" x14ac:dyDescent="0.3">
      <c r="A130" t="s">
        <v>117</v>
      </c>
      <c r="B130">
        <f t="shared" ca="1" si="11"/>
        <v>0</v>
      </c>
      <c r="C130">
        <f t="shared" ca="1" si="12"/>
        <v>0</v>
      </c>
      <c r="D130" s="3">
        <f t="shared" ca="1" si="9"/>
        <v>0</v>
      </c>
      <c r="E130" s="20" t="str">
        <f t="shared" ca="1" si="10"/>
        <v>N/A</v>
      </c>
      <c r="F130" s="21"/>
    </row>
    <row r="131" spans="1:6" x14ac:dyDescent="0.3">
      <c r="A131" t="s">
        <v>118</v>
      </c>
      <c r="B131">
        <f t="shared" ca="1" si="11"/>
        <v>0</v>
      </c>
      <c r="C131">
        <f t="shared" ca="1" si="12"/>
        <v>0</v>
      </c>
      <c r="D131" s="3">
        <f t="shared" ca="1" si="9"/>
        <v>0</v>
      </c>
      <c r="E131" s="20" t="str">
        <f t="shared" ca="1" si="10"/>
        <v>N/A</v>
      </c>
      <c r="F131" s="21"/>
    </row>
    <row r="132" spans="1:6" x14ac:dyDescent="0.3">
      <c r="A132" t="s">
        <v>119</v>
      </c>
      <c r="B132">
        <f t="shared" ca="1" si="11"/>
        <v>0</v>
      </c>
      <c r="C132">
        <f t="shared" ca="1" si="12"/>
        <v>0</v>
      </c>
      <c r="D132" s="3">
        <f t="shared" ca="1" si="9"/>
        <v>0</v>
      </c>
      <c r="E132" s="20" t="str">
        <f t="shared" ca="1" si="10"/>
        <v>N/A</v>
      </c>
      <c r="F132" s="21"/>
    </row>
    <row r="133" spans="1:6" x14ac:dyDescent="0.3">
      <c r="A133" t="s">
        <v>120</v>
      </c>
      <c r="B133">
        <f t="shared" ca="1" si="11"/>
        <v>0</v>
      </c>
      <c r="C133">
        <f t="shared" ca="1" si="12"/>
        <v>0</v>
      </c>
      <c r="D133" s="3">
        <f t="shared" ca="1" si="9"/>
        <v>0</v>
      </c>
      <c r="E133" s="20" t="str">
        <f t="shared" ca="1" si="10"/>
        <v>N/A</v>
      </c>
      <c r="F133" s="21"/>
    </row>
    <row r="134" spans="1:6" x14ac:dyDescent="0.3">
      <c r="A134" t="s">
        <v>121</v>
      </c>
      <c r="B134">
        <f t="shared" ca="1" si="11"/>
        <v>0</v>
      </c>
      <c r="C134">
        <f t="shared" ca="1" si="12"/>
        <v>0</v>
      </c>
      <c r="D134" s="3">
        <f t="shared" ca="1" si="9"/>
        <v>0</v>
      </c>
      <c r="E134" s="20" t="str">
        <f t="shared" ca="1" si="10"/>
        <v>N/A</v>
      </c>
      <c r="F134" s="21"/>
    </row>
    <row r="135" spans="1:6" x14ac:dyDescent="0.3">
      <c r="A135" t="s">
        <v>122</v>
      </c>
      <c r="B135">
        <f t="shared" ca="1" si="11"/>
        <v>0</v>
      </c>
      <c r="C135">
        <f t="shared" ca="1" si="12"/>
        <v>0</v>
      </c>
      <c r="D135" s="3">
        <f t="shared" ca="1" si="9"/>
        <v>0</v>
      </c>
      <c r="E135" s="20" t="str">
        <f t="shared" ca="1" si="10"/>
        <v>N/A</v>
      </c>
      <c r="F135" s="21"/>
    </row>
    <row r="136" spans="1:6" x14ac:dyDescent="0.3">
      <c r="A136" t="s">
        <v>123</v>
      </c>
      <c r="B136">
        <f t="shared" ca="1" si="11"/>
        <v>0</v>
      </c>
      <c r="C136">
        <f t="shared" ca="1" si="12"/>
        <v>0</v>
      </c>
      <c r="D136" s="3">
        <f t="shared" ca="1" si="9"/>
        <v>0</v>
      </c>
      <c r="E136" s="20" t="str">
        <f t="shared" ca="1" si="10"/>
        <v>N/A</v>
      </c>
      <c r="F136" s="21"/>
    </row>
    <row r="137" spans="1:6" x14ac:dyDescent="0.3">
      <c r="A137" t="s">
        <v>124</v>
      </c>
      <c r="B137">
        <f t="shared" ca="1" si="11"/>
        <v>0</v>
      </c>
      <c r="C137">
        <f t="shared" ca="1" si="12"/>
        <v>0</v>
      </c>
      <c r="D137" s="3">
        <f t="shared" ca="1" si="9"/>
        <v>0</v>
      </c>
      <c r="E137" s="20" t="str">
        <f t="shared" ca="1" si="10"/>
        <v>N/A</v>
      </c>
      <c r="F137" s="21"/>
    </row>
    <row r="138" spans="1:6" x14ac:dyDescent="0.3">
      <c r="A138" t="s">
        <v>125</v>
      </c>
      <c r="B138">
        <f t="shared" ca="1" si="11"/>
        <v>0</v>
      </c>
      <c r="C138">
        <f t="shared" ca="1" si="12"/>
        <v>0</v>
      </c>
      <c r="D138" s="3">
        <f t="shared" ca="1" si="9"/>
        <v>0</v>
      </c>
      <c r="E138" s="20" t="str">
        <f t="shared" ca="1" si="10"/>
        <v>N/A</v>
      </c>
      <c r="F138" s="21"/>
    </row>
    <row r="139" spans="1:6" x14ac:dyDescent="0.3">
      <c r="A139" t="s">
        <v>126</v>
      </c>
      <c r="B139">
        <f t="shared" ca="1" si="11"/>
        <v>0</v>
      </c>
      <c r="C139">
        <f t="shared" ca="1" si="12"/>
        <v>0</v>
      </c>
      <c r="D139" s="3">
        <f t="shared" ca="1" si="9"/>
        <v>0</v>
      </c>
      <c r="E139" s="20" t="str">
        <f t="shared" ca="1" si="10"/>
        <v>N/A</v>
      </c>
      <c r="F139" s="21"/>
    </row>
    <row r="140" spans="1:6" x14ac:dyDescent="0.3">
      <c r="A140" t="s">
        <v>127</v>
      </c>
      <c r="B140">
        <f t="shared" ca="1" si="11"/>
        <v>0</v>
      </c>
      <c r="C140">
        <f t="shared" ca="1" si="12"/>
        <v>0</v>
      </c>
      <c r="D140" s="3">
        <f t="shared" ca="1" si="9"/>
        <v>0</v>
      </c>
      <c r="E140" s="20" t="str">
        <f t="shared" ca="1" si="10"/>
        <v>N/A</v>
      </c>
      <c r="F140" s="21"/>
    </row>
    <row r="141" spans="1:6" x14ac:dyDescent="0.3">
      <c r="E141" s="3"/>
    </row>
  </sheetData>
  <pageMargins left="0.7" right="0.7" top="0.75" bottom="0.75" header="0.3" footer="0.3"/>
  <pageSetup paperSize="9" orientation="portrait" horizontalDpi="4294967294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Y130"/>
  <sheetViews>
    <sheetView topLeftCell="DG1" workbookViewId="0">
      <selection activeCell="DR2" sqref="DR2:DR500"/>
    </sheetView>
  </sheetViews>
  <sheetFormatPr defaultRowHeight="14.4" x14ac:dyDescent="0.3"/>
  <sheetData>
    <row r="1" spans="1:129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33</v>
      </c>
      <c r="AI1" t="s">
        <v>34</v>
      </c>
      <c r="AJ1" t="s">
        <v>35</v>
      </c>
      <c r="AK1" t="s">
        <v>36</v>
      </c>
      <c r="AL1" t="s">
        <v>37</v>
      </c>
      <c r="AM1" t="s">
        <v>38</v>
      </c>
      <c r="AN1" t="s">
        <v>39</v>
      </c>
      <c r="AO1" t="s">
        <v>40</v>
      </c>
      <c r="AP1" t="s">
        <v>41</v>
      </c>
      <c r="AQ1" t="s">
        <v>42</v>
      </c>
      <c r="AR1" t="s">
        <v>43</v>
      </c>
      <c r="AS1" t="s">
        <v>44</v>
      </c>
      <c r="AT1" t="s">
        <v>45</v>
      </c>
      <c r="AU1" t="s">
        <v>46</v>
      </c>
      <c r="AV1" t="s">
        <v>47</v>
      </c>
      <c r="AW1" t="s">
        <v>48</v>
      </c>
      <c r="AX1" t="s">
        <v>49</v>
      </c>
      <c r="AY1" t="s">
        <v>50</v>
      </c>
      <c r="AZ1" t="s">
        <v>51</v>
      </c>
      <c r="BA1" t="s">
        <v>52</v>
      </c>
      <c r="BB1" t="s">
        <v>53</v>
      </c>
      <c r="BC1" t="s">
        <v>54</v>
      </c>
      <c r="BD1" t="s">
        <v>55</v>
      </c>
      <c r="BE1" t="s">
        <v>56</v>
      </c>
      <c r="BF1" t="s">
        <v>57</v>
      </c>
      <c r="BG1" t="s">
        <v>58</v>
      </c>
      <c r="BH1" t="s">
        <v>59</v>
      </c>
      <c r="BI1" t="s">
        <v>60</v>
      </c>
      <c r="BJ1" t="s">
        <v>61</v>
      </c>
      <c r="BK1" t="s">
        <v>62</v>
      </c>
      <c r="BL1" t="s">
        <v>63</v>
      </c>
      <c r="BM1" t="s">
        <v>64</v>
      </c>
      <c r="BN1" t="s">
        <v>65</v>
      </c>
      <c r="BO1" t="s">
        <v>66</v>
      </c>
      <c r="BP1" t="s">
        <v>67</v>
      </c>
      <c r="BQ1" t="s">
        <v>68</v>
      </c>
      <c r="BR1" t="s">
        <v>69</v>
      </c>
      <c r="BS1" t="s">
        <v>70</v>
      </c>
      <c r="BT1" t="s">
        <v>71</v>
      </c>
      <c r="BU1" t="s">
        <v>72</v>
      </c>
      <c r="BV1" t="s">
        <v>73</v>
      </c>
      <c r="BW1" t="s">
        <v>74</v>
      </c>
      <c r="BX1" t="s">
        <v>75</v>
      </c>
      <c r="BY1" t="s">
        <v>76</v>
      </c>
      <c r="BZ1" t="s">
        <v>77</v>
      </c>
      <c r="CA1" t="s">
        <v>78</v>
      </c>
      <c r="CB1" t="s">
        <v>79</v>
      </c>
      <c r="CC1" t="s">
        <v>80</v>
      </c>
      <c r="CD1" t="s">
        <v>81</v>
      </c>
      <c r="CE1" t="s">
        <v>82</v>
      </c>
      <c r="CF1" t="s">
        <v>83</v>
      </c>
      <c r="CG1" t="s">
        <v>84</v>
      </c>
      <c r="CH1" t="s">
        <v>85</v>
      </c>
      <c r="CI1" t="s">
        <v>86</v>
      </c>
      <c r="CJ1" t="s">
        <v>87</v>
      </c>
      <c r="CK1" t="s">
        <v>88</v>
      </c>
      <c r="CL1" t="s">
        <v>89</v>
      </c>
      <c r="CM1" t="s">
        <v>90</v>
      </c>
      <c r="CN1" t="s">
        <v>91</v>
      </c>
      <c r="CO1" t="s">
        <v>92</v>
      </c>
      <c r="CP1" t="s">
        <v>93</v>
      </c>
      <c r="CQ1" t="s">
        <v>94</v>
      </c>
      <c r="CR1" t="s">
        <v>95</v>
      </c>
      <c r="CS1" t="s">
        <v>96</v>
      </c>
      <c r="CT1" t="s">
        <v>97</v>
      </c>
      <c r="CU1" t="s">
        <v>98</v>
      </c>
      <c r="CV1" t="s">
        <v>99</v>
      </c>
      <c r="CW1" t="s">
        <v>100</v>
      </c>
      <c r="CX1" t="s">
        <v>101</v>
      </c>
      <c r="CY1" t="s">
        <v>102</v>
      </c>
      <c r="CZ1" t="s">
        <v>103</v>
      </c>
      <c r="DA1" t="s">
        <v>104</v>
      </c>
      <c r="DB1" t="s">
        <v>105</v>
      </c>
      <c r="DC1" t="s">
        <v>106</v>
      </c>
      <c r="DD1" t="s">
        <v>107</v>
      </c>
      <c r="DE1" t="s">
        <v>108</v>
      </c>
      <c r="DF1" t="s">
        <v>109</v>
      </c>
      <c r="DG1" t="s">
        <v>110</v>
      </c>
      <c r="DH1" t="s">
        <v>111</v>
      </c>
      <c r="DI1" t="s">
        <v>112</v>
      </c>
      <c r="DJ1" t="s">
        <v>113</v>
      </c>
      <c r="DK1" t="s">
        <v>114</v>
      </c>
      <c r="DL1" t="s">
        <v>115</v>
      </c>
      <c r="DM1" t="s">
        <v>116</v>
      </c>
      <c r="DN1" t="s">
        <v>117</v>
      </c>
      <c r="DO1" t="s">
        <v>118</v>
      </c>
      <c r="DP1" t="s">
        <v>119</v>
      </c>
      <c r="DQ1" t="s">
        <v>120</v>
      </c>
      <c r="DR1" t="s">
        <v>121</v>
      </c>
      <c r="DS1" t="s">
        <v>122</v>
      </c>
      <c r="DT1" t="s">
        <v>123</v>
      </c>
      <c r="DU1" t="s">
        <v>124</v>
      </c>
      <c r="DV1" t="s">
        <v>125</v>
      </c>
      <c r="DW1" t="s">
        <v>126</v>
      </c>
      <c r="DX1" t="s">
        <v>127</v>
      </c>
      <c r="DY1" t="s">
        <v>198</v>
      </c>
    </row>
    <row r="2" spans="1:129" x14ac:dyDescent="0.3">
      <c r="DR2" s="21"/>
    </row>
    <row r="3" spans="1:129" x14ac:dyDescent="0.3">
      <c r="CU3" t="s">
        <v>171</v>
      </c>
      <c r="DR3" s="21" t="s">
        <v>148</v>
      </c>
    </row>
    <row r="4" spans="1:129" x14ac:dyDescent="0.3">
      <c r="DR4" s="21" t="s">
        <v>149</v>
      </c>
    </row>
    <row r="5" spans="1:129" x14ac:dyDescent="0.3">
      <c r="DR5" s="21"/>
    </row>
    <row r="6" spans="1:129" x14ac:dyDescent="0.3">
      <c r="DR6" s="21"/>
    </row>
    <row r="7" spans="1:129" x14ac:dyDescent="0.3">
      <c r="DR7" s="21" t="s">
        <v>150</v>
      </c>
    </row>
    <row r="8" spans="1:129" x14ac:dyDescent="0.3">
      <c r="DR8" s="21" t="s">
        <v>147</v>
      </c>
    </row>
    <row r="9" spans="1:129" x14ac:dyDescent="0.3">
      <c r="DR9" s="21"/>
    </row>
    <row r="10" spans="1:129" x14ac:dyDescent="0.3">
      <c r="DR10" s="21"/>
    </row>
    <row r="11" spans="1:129" x14ac:dyDescent="0.3">
      <c r="DR11" s="21"/>
    </row>
    <row r="12" spans="1:129" x14ac:dyDescent="0.3">
      <c r="DR12" s="21"/>
    </row>
    <row r="13" spans="1:129" x14ac:dyDescent="0.3">
      <c r="DR13" s="21" t="s">
        <v>151</v>
      </c>
    </row>
    <row r="14" spans="1:129" x14ac:dyDescent="0.3">
      <c r="DR14" s="21"/>
    </row>
    <row r="15" spans="1:129" x14ac:dyDescent="0.3">
      <c r="DR15" s="21"/>
    </row>
    <row r="16" spans="1:129" x14ac:dyDescent="0.3">
      <c r="DR16" s="21"/>
    </row>
    <row r="17" spans="122:122" x14ac:dyDescent="0.3">
      <c r="DR17" s="21" t="s">
        <v>172</v>
      </c>
    </row>
    <row r="18" spans="122:122" x14ac:dyDescent="0.3">
      <c r="DR18" s="21"/>
    </row>
    <row r="19" spans="122:122" x14ac:dyDescent="0.3">
      <c r="DR19" s="21"/>
    </row>
    <row r="20" spans="122:122" x14ac:dyDescent="0.3">
      <c r="DR20" s="21"/>
    </row>
    <row r="21" spans="122:122" x14ac:dyDescent="0.3">
      <c r="DR21" s="21"/>
    </row>
    <row r="22" spans="122:122" x14ac:dyDescent="0.3">
      <c r="DR22" s="21"/>
    </row>
    <row r="23" spans="122:122" x14ac:dyDescent="0.3">
      <c r="DR23" s="21" t="s">
        <v>182</v>
      </c>
    </row>
    <row r="24" spans="122:122" x14ac:dyDescent="0.3">
      <c r="DR24" s="21"/>
    </row>
    <row r="25" spans="122:122" x14ac:dyDescent="0.3">
      <c r="DR25" s="21"/>
    </row>
    <row r="26" spans="122:122" x14ac:dyDescent="0.3">
      <c r="DR26" s="21"/>
    </row>
    <row r="27" spans="122:122" x14ac:dyDescent="0.3">
      <c r="DR27" s="21"/>
    </row>
    <row r="28" spans="122:122" x14ac:dyDescent="0.3">
      <c r="DR28" s="21" t="s">
        <v>183</v>
      </c>
    </row>
    <row r="29" spans="122:122" x14ac:dyDescent="0.3">
      <c r="DR29" s="21"/>
    </row>
    <row r="30" spans="122:122" x14ac:dyDescent="0.3">
      <c r="DR30" s="21"/>
    </row>
    <row r="31" spans="122:122" x14ac:dyDescent="0.3">
      <c r="DR31" s="21" t="s">
        <v>184</v>
      </c>
    </row>
    <row r="32" spans="122:122" x14ac:dyDescent="0.3">
      <c r="DR32" s="21"/>
    </row>
    <row r="33" spans="122:122" x14ac:dyDescent="0.3">
      <c r="DR33" s="21"/>
    </row>
    <row r="34" spans="122:122" x14ac:dyDescent="0.3">
      <c r="DR34" s="21"/>
    </row>
    <row r="35" spans="122:122" x14ac:dyDescent="0.3">
      <c r="DR35" s="21"/>
    </row>
    <row r="36" spans="122:122" x14ac:dyDescent="0.3">
      <c r="DR36" s="21" t="s">
        <v>191</v>
      </c>
    </row>
    <row r="37" spans="122:122" x14ac:dyDescent="0.3">
      <c r="DR37" s="21"/>
    </row>
    <row r="38" spans="122:122" x14ac:dyDescent="0.3">
      <c r="DR38" s="21"/>
    </row>
    <row r="39" spans="122:122" x14ac:dyDescent="0.3">
      <c r="DR39" s="21"/>
    </row>
    <row r="40" spans="122:122" x14ac:dyDescent="0.3">
      <c r="DR40" s="21"/>
    </row>
    <row r="41" spans="122:122" x14ac:dyDescent="0.3">
      <c r="DR41" s="21"/>
    </row>
    <row r="42" spans="122:122" x14ac:dyDescent="0.3">
      <c r="DR42" s="21"/>
    </row>
    <row r="43" spans="122:122" x14ac:dyDescent="0.3">
      <c r="DR43" s="21"/>
    </row>
    <row r="44" spans="122:122" x14ac:dyDescent="0.3">
      <c r="DR44" s="21"/>
    </row>
    <row r="45" spans="122:122" x14ac:dyDescent="0.3">
      <c r="DR45" s="21"/>
    </row>
    <row r="46" spans="122:122" x14ac:dyDescent="0.3">
      <c r="DR46" s="21"/>
    </row>
    <row r="47" spans="122:122" x14ac:dyDescent="0.3">
      <c r="DR47" s="21"/>
    </row>
    <row r="48" spans="122:122" x14ac:dyDescent="0.3">
      <c r="DR48" s="21" t="s">
        <v>173</v>
      </c>
    </row>
    <row r="49" spans="122:122" x14ac:dyDescent="0.3">
      <c r="DR49" s="21" t="s">
        <v>174</v>
      </c>
    </row>
    <row r="50" spans="122:122" x14ac:dyDescent="0.3">
      <c r="DR50" s="21"/>
    </row>
    <row r="51" spans="122:122" x14ac:dyDescent="0.3">
      <c r="DR51" s="21"/>
    </row>
    <row r="52" spans="122:122" x14ac:dyDescent="0.3">
      <c r="DR52" s="21"/>
    </row>
    <row r="53" spans="122:122" x14ac:dyDescent="0.3">
      <c r="DR53" s="21"/>
    </row>
    <row r="54" spans="122:122" x14ac:dyDescent="0.3">
      <c r="DR54" s="21"/>
    </row>
    <row r="55" spans="122:122" x14ac:dyDescent="0.3">
      <c r="DR55" s="21"/>
    </row>
    <row r="56" spans="122:122" x14ac:dyDescent="0.3">
      <c r="DR56" s="21" t="s">
        <v>175</v>
      </c>
    </row>
    <row r="57" spans="122:122" x14ac:dyDescent="0.3">
      <c r="DR57" s="21"/>
    </row>
    <row r="58" spans="122:122" x14ac:dyDescent="0.3">
      <c r="DR58" s="21"/>
    </row>
    <row r="59" spans="122:122" x14ac:dyDescent="0.3">
      <c r="DR59" s="21" t="s">
        <v>202</v>
      </c>
    </row>
    <row r="60" spans="122:122" x14ac:dyDescent="0.3">
      <c r="DR60" s="21"/>
    </row>
    <row r="61" spans="122:122" x14ac:dyDescent="0.3">
      <c r="DR61" s="21"/>
    </row>
    <row r="62" spans="122:122" x14ac:dyDescent="0.3">
      <c r="DR62" s="21"/>
    </row>
    <row r="63" spans="122:122" x14ac:dyDescent="0.3">
      <c r="DR63" s="21"/>
    </row>
    <row r="64" spans="122:122" x14ac:dyDescent="0.3">
      <c r="DR64" s="21"/>
    </row>
    <row r="65" spans="122:122" x14ac:dyDescent="0.3">
      <c r="DR65" s="21"/>
    </row>
    <row r="66" spans="122:122" x14ac:dyDescent="0.3">
      <c r="DR66" s="21"/>
    </row>
    <row r="67" spans="122:122" x14ac:dyDescent="0.3">
      <c r="DR67" s="21"/>
    </row>
    <row r="68" spans="122:122" x14ac:dyDescent="0.3">
      <c r="DR68" s="21"/>
    </row>
    <row r="69" spans="122:122" x14ac:dyDescent="0.3">
      <c r="DR69" s="21"/>
    </row>
    <row r="70" spans="122:122" x14ac:dyDescent="0.3">
      <c r="DR70" s="21"/>
    </row>
    <row r="71" spans="122:122" x14ac:dyDescent="0.3">
      <c r="DR71" s="21"/>
    </row>
    <row r="72" spans="122:122" x14ac:dyDescent="0.3">
      <c r="DR72" s="21"/>
    </row>
    <row r="73" spans="122:122" x14ac:dyDescent="0.3">
      <c r="DR73" s="21" t="s">
        <v>179</v>
      </c>
    </row>
    <row r="74" spans="122:122" x14ac:dyDescent="0.3">
      <c r="DR74" s="21"/>
    </row>
    <row r="75" spans="122:122" x14ac:dyDescent="0.3">
      <c r="DR75" s="21"/>
    </row>
    <row r="76" spans="122:122" x14ac:dyDescent="0.3">
      <c r="DR76" s="21"/>
    </row>
    <row r="77" spans="122:122" x14ac:dyDescent="0.3">
      <c r="DR77" s="21"/>
    </row>
    <row r="78" spans="122:122" x14ac:dyDescent="0.3">
      <c r="DR78" s="21"/>
    </row>
    <row r="79" spans="122:122" x14ac:dyDescent="0.3">
      <c r="DR79" s="21"/>
    </row>
    <row r="80" spans="122:122" x14ac:dyDescent="0.3">
      <c r="DR80" s="21"/>
    </row>
    <row r="81" spans="122:122" x14ac:dyDescent="0.3">
      <c r="DR81" s="21"/>
    </row>
    <row r="82" spans="122:122" x14ac:dyDescent="0.3">
      <c r="DR82" s="21"/>
    </row>
    <row r="83" spans="122:122" x14ac:dyDescent="0.3">
      <c r="DR83" s="21" t="s">
        <v>185</v>
      </c>
    </row>
    <row r="84" spans="122:122" x14ac:dyDescent="0.3">
      <c r="DR84" s="21"/>
    </row>
    <row r="85" spans="122:122" x14ac:dyDescent="0.3">
      <c r="DR85" s="21"/>
    </row>
    <row r="86" spans="122:122" x14ac:dyDescent="0.3">
      <c r="DR86" s="21"/>
    </row>
    <row r="87" spans="122:122" x14ac:dyDescent="0.3">
      <c r="DR87" s="21"/>
    </row>
    <row r="88" spans="122:122" x14ac:dyDescent="0.3">
      <c r="DR88" s="21"/>
    </row>
    <row r="89" spans="122:122" x14ac:dyDescent="0.3">
      <c r="DR89" s="21"/>
    </row>
    <row r="90" spans="122:122" x14ac:dyDescent="0.3">
      <c r="DR90" s="21"/>
    </row>
    <row r="91" spans="122:122" x14ac:dyDescent="0.3">
      <c r="DR91" s="21"/>
    </row>
    <row r="92" spans="122:122" x14ac:dyDescent="0.3">
      <c r="DR92" s="21"/>
    </row>
    <row r="93" spans="122:122" x14ac:dyDescent="0.3">
      <c r="DR93" s="21" t="s">
        <v>186</v>
      </c>
    </row>
    <row r="94" spans="122:122" x14ac:dyDescent="0.3">
      <c r="DR94" s="21"/>
    </row>
    <row r="95" spans="122:122" x14ac:dyDescent="0.3">
      <c r="DR95" s="21"/>
    </row>
    <row r="96" spans="122:122" x14ac:dyDescent="0.3">
      <c r="DR96" s="21"/>
    </row>
    <row r="97" spans="122:122" x14ac:dyDescent="0.3">
      <c r="DR97" s="21"/>
    </row>
    <row r="98" spans="122:122" x14ac:dyDescent="0.3">
      <c r="DR98" s="21"/>
    </row>
    <row r="99" spans="122:122" x14ac:dyDescent="0.3">
      <c r="DR99" s="21"/>
    </row>
    <row r="100" spans="122:122" x14ac:dyDescent="0.3">
      <c r="DR100" s="21"/>
    </row>
    <row r="101" spans="122:122" x14ac:dyDescent="0.3">
      <c r="DR101" s="21"/>
    </row>
    <row r="102" spans="122:122" x14ac:dyDescent="0.3">
      <c r="DR102" s="21"/>
    </row>
    <row r="103" spans="122:122" x14ac:dyDescent="0.3">
      <c r="DR103" s="21"/>
    </row>
    <row r="104" spans="122:122" x14ac:dyDescent="0.3">
      <c r="DR104" s="21"/>
    </row>
    <row r="105" spans="122:122" x14ac:dyDescent="0.3">
      <c r="DR105" s="21"/>
    </row>
    <row r="106" spans="122:122" x14ac:dyDescent="0.3">
      <c r="DR106" s="21"/>
    </row>
    <row r="107" spans="122:122" x14ac:dyDescent="0.3">
      <c r="DR107" s="21"/>
    </row>
    <row r="108" spans="122:122" x14ac:dyDescent="0.3">
      <c r="DR108" s="21"/>
    </row>
    <row r="109" spans="122:122" x14ac:dyDescent="0.3">
      <c r="DR109" s="21"/>
    </row>
    <row r="110" spans="122:122" x14ac:dyDescent="0.3">
      <c r="DR110" s="21"/>
    </row>
    <row r="111" spans="122:122" x14ac:dyDescent="0.3">
      <c r="DR111" s="21"/>
    </row>
    <row r="112" spans="122:122" x14ac:dyDescent="0.3">
      <c r="DR112" s="21"/>
    </row>
    <row r="113" spans="122:122" x14ac:dyDescent="0.3">
      <c r="DR113" s="21"/>
    </row>
    <row r="114" spans="122:122" x14ac:dyDescent="0.3">
      <c r="DR114" s="21"/>
    </row>
    <row r="115" spans="122:122" x14ac:dyDescent="0.3">
      <c r="DR115" s="21"/>
    </row>
    <row r="116" spans="122:122" x14ac:dyDescent="0.3">
      <c r="DR116" s="21"/>
    </row>
    <row r="117" spans="122:122" x14ac:dyDescent="0.3">
      <c r="DR117" s="21"/>
    </row>
    <row r="118" spans="122:122" x14ac:dyDescent="0.3">
      <c r="DR118" s="21"/>
    </row>
    <row r="119" spans="122:122" x14ac:dyDescent="0.3">
      <c r="DR119" s="21"/>
    </row>
    <row r="120" spans="122:122" x14ac:dyDescent="0.3">
      <c r="DR120" s="21"/>
    </row>
    <row r="121" spans="122:122" x14ac:dyDescent="0.3">
      <c r="DR121" s="21"/>
    </row>
    <row r="122" spans="122:122" x14ac:dyDescent="0.3">
      <c r="DR122" s="21"/>
    </row>
    <row r="123" spans="122:122" x14ac:dyDescent="0.3">
      <c r="DR123" s="21"/>
    </row>
    <row r="124" spans="122:122" x14ac:dyDescent="0.3">
      <c r="DR124" s="21"/>
    </row>
    <row r="125" spans="122:122" x14ac:dyDescent="0.3">
      <c r="DR125" s="21"/>
    </row>
    <row r="126" spans="122:122" x14ac:dyDescent="0.3">
      <c r="DR126" s="21"/>
    </row>
    <row r="127" spans="122:122" x14ac:dyDescent="0.3">
      <c r="DR127" s="21"/>
    </row>
    <row r="128" spans="122:122" x14ac:dyDescent="0.3">
      <c r="DR128" s="21"/>
    </row>
    <row r="129" spans="122:122" x14ac:dyDescent="0.3">
      <c r="DR129" s="21"/>
    </row>
    <row r="130" spans="122:122" x14ac:dyDescent="0.3">
      <c r="DR130" s="21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D48"/>
  <sheetViews>
    <sheetView workbookViewId="0">
      <selection activeCell="A13" sqref="A13:A14"/>
    </sheetView>
  </sheetViews>
  <sheetFormatPr defaultRowHeight="14.4" x14ac:dyDescent="0.3"/>
  <sheetData>
    <row r="1" spans="1:4" x14ac:dyDescent="0.3">
      <c r="A1" s="1" t="s">
        <v>246</v>
      </c>
      <c r="D1" t="str">
        <f ca="1">CONCATENATE("v.",RANDBETWEEN(1,3),".",RANDBETWEEN(1,8),".",RANDBETWEEN(4,15))</f>
        <v>v.1.6.15</v>
      </c>
    </row>
    <row r="2" spans="1:4" x14ac:dyDescent="0.3">
      <c r="A2" t="s">
        <v>247</v>
      </c>
    </row>
    <row r="3" spans="1:4" x14ac:dyDescent="0.3">
      <c r="A3" t="s">
        <v>248</v>
      </c>
    </row>
    <row r="11" spans="1:4" x14ac:dyDescent="0.3">
      <c r="A11" s="1" t="s">
        <v>162</v>
      </c>
    </row>
    <row r="12" spans="1:4" x14ac:dyDescent="0.3">
      <c r="A12" s="1"/>
    </row>
    <row r="13" spans="1:4" s="2" customFormat="1" x14ac:dyDescent="0.3">
      <c r="A13" s="2" t="s">
        <v>250</v>
      </c>
    </row>
    <row r="14" spans="1:4" s="2" customFormat="1" x14ac:dyDescent="0.3">
      <c r="A14" s="2" t="s">
        <v>249</v>
      </c>
    </row>
    <row r="15" spans="1:4" s="2" customFormat="1" x14ac:dyDescent="0.3">
      <c r="A15" s="2" t="s">
        <v>245</v>
      </c>
    </row>
    <row r="16" spans="1:4" s="2" customFormat="1" x14ac:dyDescent="0.3">
      <c r="A16" s="2" t="s">
        <v>242</v>
      </c>
    </row>
    <row r="17" spans="1:1" s="2" customFormat="1" x14ac:dyDescent="0.3">
      <c r="A17" s="2" t="s">
        <v>241</v>
      </c>
    </row>
    <row r="18" spans="1:1" s="2" customFormat="1" x14ac:dyDescent="0.3">
      <c r="A18" s="2" t="s">
        <v>240</v>
      </c>
    </row>
    <row r="19" spans="1:1" s="2" customFormat="1" x14ac:dyDescent="0.3">
      <c r="A19" s="2" t="s">
        <v>237</v>
      </c>
    </row>
    <row r="20" spans="1:1" s="2" customFormat="1" x14ac:dyDescent="0.3">
      <c r="A20" s="2" t="s">
        <v>236</v>
      </c>
    </row>
    <row r="21" spans="1:1" s="2" customFormat="1" x14ac:dyDescent="0.3">
      <c r="A21" s="2" t="s">
        <v>235</v>
      </c>
    </row>
    <row r="22" spans="1:1" s="2" customFormat="1" x14ac:dyDescent="0.3">
      <c r="A22" s="2" t="s">
        <v>234</v>
      </c>
    </row>
    <row r="23" spans="1:1" s="2" customFormat="1" x14ac:dyDescent="0.3">
      <c r="A23" s="2" t="s">
        <v>227</v>
      </c>
    </row>
    <row r="24" spans="1:1" s="2" customFormat="1" x14ac:dyDescent="0.3">
      <c r="A24" s="2" t="s">
        <v>226</v>
      </c>
    </row>
    <row r="25" spans="1:1" s="2" customFormat="1" x14ac:dyDescent="0.3">
      <c r="A25" s="2" t="s">
        <v>225</v>
      </c>
    </row>
    <row r="26" spans="1:1" s="2" customFormat="1" x14ac:dyDescent="0.3">
      <c r="A26" s="2" t="s">
        <v>220</v>
      </c>
    </row>
    <row r="27" spans="1:1" s="2" customFormat="1" x14ac:dyDescent="0.3">
      <c r="A27" s="2" t="s">
        <v>219</v>
      </c>
    </row>
    <row r="28" spans="1:1" s="2" customFormat="1" x14ac:dyDescent="0.3">
      <c r="A28" s="2" t="s">
        <v>214</v>
      </c>
    </row>
    <row r="29" spans="1:1" s="2" customFormat="1" x14ac:dyDescent="0.3">
      <c r="A29" s="2" t="s">
        <v>212</v>
      </c>
    </row>
    <row r="30" spans="1:1" s="2" customFormat="1" x14ac:dyDescent="0.3">
      <c r="A30" s="2" t="s">
        <v>207</v>
      </c>
    </row>
    <row r="31" spans="1:1" s="2" customFormat="1" x14ac:dyDescent="0.3">
      <c r="A31" s="2" t="s">
        <v>206</v>
      </c>
    </row>
    <row r="32" spans="1:1" s="2" customFormat="1" x14ac:dyDescent="0.3">
      <c r="A32" s="2" t="s">
        <v>201</v>
      </c>
    </row>
    <row r="33" spans="1:1" s="2" customFormat="1" x14ac:dyDescent="0.3">
      <c r="A33" s="2" t="s">
        <v>200</v>
      </c>
    </row>
    <row r="34" spans="1:1" s="2" customFormat="1" x14ac:dyDescent="0.3">
      <c r="A34" s="2" t="s">
        <v>199</v>
      </c>
    </row>
    <row r="35" spans="1:1" s="2" customFormat="1" x14ac:dyDescent="0.3">
      <c r="A35" s="2" t="s">
        <v>197</v>
      </c>
    </row>
    <row r="36" spans="1:1" s="2" customFormat="1" x14ac:dyDescent="0.3">
      <c r="A36" s="2" t="s">
        <v>196</v>
      </c>
    </row>
    <row r="37" spans="1:1" s="2" customFormat="1" x14ac:dyDescent="0.3">
      <c r="A37" s="2" t="s">
        <v>188</v>
      </c>
    </row>
    <row r="38" spans="1:1" s="2" customFormat="1" x14ac:dyDescent="0.3">
      <c r="A38" s="2" t="s">
        <v>181</v>
      </c>
    </row>
    <row r="39" spans="1:1" s="2" customFormat="1" x14ac:dyDescent="0.3">
      <c r="A39" s="2" t="s">
        <v>178</v>
      </c>
    </row>
    <row r="40" spans="1:1" s="2" customFormat="1" x14ac:dyDescent="0.3">
      <c r="A40" s="2" t="s">
        <v>177</v>
      </c>
    </row>
    <row r="41" spans="1:1" s="2" customFormat="1" x14ac:dyDescent="0.3">
      <c r="A41" s="2" t="s">
        <v>170</v>
      </c>
    </row>
    <row r="42" spans="1:1" s="2" customFormat="1" x14ac:dyDescent="0.3">
      <c r="A42" s="2" t="s">
        <v>169</v>
      </c>
    </row>
    <row r="43" spans="1:1" s="2" customFormat="1" x14ac:dyDescent="0.3">
      <c r="A43" s="2" t="s">
        <v>168</v>
      </c>
    </row>
    <row r="44" spans="1:1" s="2" customFormat="1" x14ac:dyDescent="0.3">
      <c r="A44" s="2" t="s">
        <v>167</v>
      </c>
    </row>
    <row r="45" spans="1:1" x14ac:dyDescent="0.3">
      <c r="A45" t="s">
        <v>166</v>
      </c>
    </row>
    <row r="46" spans="1:1" x14ac:dyDescent="0.3">
      <c r="A46" t="s">
        <v>163</v>
      </c>
    </row>
    <row r="47" spans="1:1" x14ac:dyDescent="0.3">
      <c r="A47" t="s">
        <v>164</v>
      </c>
    </row>
    <row r="48" spans="1:1" x14ac:dyDescent="0.3">
      <c r="A48" t="s">
        <v>165</v>
      </c>
    </row>
  </sheetData>
  <pageMargins left="0.7" right="0.7" top="0.75" bottom="0.75" header="0.3" footer="0.3"/>
  <pageSetup paperSize="9" orientation="portrait" horizontalDpi="4294967294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AddChangelogLine">
                <anchor moveWithCells="1" sizeWithCells="1">
                  <from>
                    <xdr:col>11</xdr:col>
                    <xdr:colOff>114300</xdr:colOff>
                    <xdr:row>6</xdr:row>
                    <xdr:rowOff>152400</xdr:rowOff>
                  </from>
                  <to>
                    <xdr:col>14</xdr:col>
                    <xdr:colOff>0</xdr:colOff>
                    <xdr:row>10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Front</vt:lpstr>
      <vt:lpstr>General stats</vt:lpstr>
      <vt:lpstr>Matchups</vt:lpstr>
      <vt:lpstr>Matchup Notes</vt:lpstr>
      <vt:lpstr>Changelog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2016-02-12T18:58:03Z</dcterms:modified>
  <cp:contentStatus/>
</cp:coreProperties>
</file>