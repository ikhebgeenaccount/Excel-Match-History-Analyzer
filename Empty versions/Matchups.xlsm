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/>
  </bookViews>
  <sheets>
    <sheet name="Front" sheetId="6" r:id="rId1"/>
    <sheet name="General stats" sheetId="2" r:id="rId2"/>
    <sheet name="Matchups" sheetId="1" r:id="rId3"/>
    <sheet name="Matchup Notes" sheetId="4" r:id="rId4"/>
    <sheet name="Changelog" sheetId="3" r:id="rId5"/>
  </sheets>
  <functionGroups builtInGroupCount="18"/>
  <definedNames>
    <definedName name="GameListAssists">INDIRECT("'General stats'!$H$3:$H$5000")</definedName>
    <definedName name="GameListAssistsLastGames">INDIRECT("'General stats'!$H$3:$H$12")</definedName>
    <definedName name="GameListChampion">INDIRECT("'General stats'!$A$3:$A$5000")</definedName>
    <definedName name="GameListChampionLastGames">INDIRECT("'General stats'!$A$3:$A$12")</definedName>
    <definedName name="GameListCS">INDIRECT("'General stats'!$J$3:$J$5000")</definedName>
    <definedName name="GameListCSLastGames">INDIRECT("'General stats'!$J$3:$J$12")</definedName>
    <definedName name="GameListDamage">INDIRECT("'General stats'!$R$3:$R$5000")</definedName>
    <definedName name="GameListDamageChampions">INDIRECT("'General stats'!$S$3:$S$5000")</definedName>
    <definedName name="GameListDamageChampionsLastGames">INDIRECT("'General stats'!$S$3:$S$12")</definedName>
    <definedName name="GameListDamageLastGames">INDIRECT("'General stats'!$R$3:$R$12")</definedName>
    <definedName name="GameListDate">INDIRECT("'General stats'!$O$3:$O$5000")</definedName>
    <definedName name="GameListDateLastGames">INDIRECT("'General stats'!$O$3:$O$12")</definedName>
    <definedName name="GameListDeaths">INDIRECT("'General stats'!$G$3:$G$5000")</definedName>
    <definedName name="GameListDeathsLastGames">INDIRECT("'General stats'!$G$3:$G$12")</definedName>
    <definedName name="GameListGold">INDIRECT("'General stats'!$I$3:$I$5000")</definedName>
    <definedName name="GameListGoldLastGames">INDIRECT("'General stats'!$I$3:$I$12")</definedName>
    <definedName name="GameListGrade">INDIRECT("'General stats'!$O$3:$O$5000")</definedName>
    <definedName name="GameListGradeLastGames">INDIRECT("'General stats'!$O$3:$O$12")</definedName>
    <definedName name="GameListGradeValue">INDIRECT("'General stats'!$P$3:$P$5000")</definedName>
    <definedName name="GameListID">INDIRECT("'General stats'!$W$3:$W$5000")</definedName>
    <definedName name="GameListKills">INDIRECT("'General stats'!$F$3:$F$5000")</definedName>
    <definedName name="GameListKillsLastGames">INDIRECT("'General stats'!$F$3:$F$12")</definedName>
    <definedName name="GameListLaneOpponent">INDIRECT("'General stats'!$B$3:$B$5000")</definedName>
    <definedName name="GameListLaneOpponentLastGames">INDIRECT("'General stats'!$B$3:$B$12")</definedName>
    <definedName name="GameListMin">INDIRECT("'General stats'!$M$3:$M$5000")</definedName>
    <definedName name="GameListMinLastGames">INDIRECT("'General stats'!$M$3:$M$12")</definedName>
    <definedName name="GameListMode">INDIRECT("'General stats'!$C$3:$C$5000")</definedName>
    <definedName name="GameListModeLastGames">INDIRECT("'General stats'!$C$3:$C$12")</definedName>
    <definedName name="GameListMultikill">INDIRECT("'General stats'!$K$3:$K$5000")</definedName>
    <definedName name="GameListMultikillLastGames">INDIRECT("'General stats'!$K$3:$K$12")</definedName>
    <definedName name="GameListPatch">INDIRECT("'General stats'!$L$3:$L$5000")</definedName>
    <definedName name="GameListPatchLastGames">INDIRECT("'General stats'!$L$3:$L$12")</definedName>
    <definedName name="GameListRole">INDIRECT("'General stats'!$E$3:$E$5000")</definedName>
    <definedName name="GameListRoleLastGames">INDIRECT("'General stats'!$E$3:$E$12")</definedName>
    <definedName name="GameListSec">INDIRECT("'General stats'!$N$3:$N$5000")</definedName>
    <definedName name="GameListSecLastGames">INDIRECT("'General stats'!$N$3:$N$12")</definedName>
    <definedName name="GameListWardsKilled">INDIRECT("'General stats'!$Q$3:$Q$5000")</definedName>
    <definedName name="GameListWardsKilledLastGames">INDIRECT("'General stats'!$Q$3:$Q$12")</definedName>
    <definedName name="GameListWardsPlaced">INDIRECT("'General stats'!$P$3:$P$5000")</definedName>
    <definedName name="GameListWardsPlacedLastGames">INDIRECT("'General stats'!$P$3:$P$12")</definedName>
    <definedName name="GameListWinLoss">INDIRECT("'General stats'!$D$3:$D$5000")</definedName>
    <definedName name="GameListWinLossLastGames">INDIRECT("'General stats'!$D$3:$D$12")</definedName>
  </definedNames>
  <calcPr calcId="152511"/>
</workbook>
</file>

<file path=xl/calcChain.xml><?xml version="1.0" encoding="utf-8"?>
<calcChain xmlns="http://schemas.openxmlformats.org/spreadsheetml/2006/main">
  <c r="D4" i="6" l="1"/>
  <c r="C21" i="6"/>
  <c r="B13" i="6"/>
  <c r="C13" i="6"/>
  <c r="D13" i="6" l="1"/>
  <c r="E13" i="6" s="1"/>
  <c r="C36" i="1"/>
  <c r="C54" i="1"/>
  <c r="C64" i="1"/>
  <c r="B89" i="1"/>
  <c r="C16" i="1"/>
  <c r="B107" i="1"/>
  <c r="C123" i="1"/>
  <c r="B90" i="1"/>
  <c r="C108" i="1"/>
  <c r="B69" i="1"/>
  <c r="C106" i="1"/>
  <c r="B46" i="1"/>
  <c r="C140" i="1"/>
  <c r="C134" i="1"/>
  <c r="C81" i="1"/>
  <c r="C84" i="1"/>
  <c r="B22" i="1"/>
  <c r="B15" i="1"/>
  <c r="B119" i="1"/>
  <c r="C58" i="1"/>
  <c r="B70" i="1"/>
  <c r="C19" i="1"/>
  <c r="C28" i="1"/>
  <c r="C77" i="1"/>
  <c r="B43" i="1"/>
  <c r="B118" i="1"/>
  <c r="B122" i="1"/>
  <c r="C29" i="1"/>
  <c r="C94" i="1"/>
  <c r="K21" i="6"/>
  <c r="B30" i="1"/>
  <c r="C139" i="1"/>
  <c r="B63" i="1"/>
  <c r="B127" i="1"/>
  <c r="B26" i="1"/>
  <c r="B113" i="1"/>
  <c r="B138" i="1"/>
  <c r="C88" i="1"/>
  <c r="C107" i="1"/>
  <c r="B53" i="1"/>
  <c r="C113" i="1"/>
  <c r="C102" i="1"/>
  <c r="B54" i="1"/>
  <c r="C49" i="1"/>
  <c r="C89" i="1"/>
  <c r="C62" i="1"/>
  <c r="C115" i="1"/>
  <c r="C50" i="1"/>
  <c r="B85" i="1"/>
  <c r="C101" i="1"/>
  <c r="C112" i="1"/>
  <c r="B140" i="1"/>
  <c r="B20" i="1"/>
  <c r="B75" i="1"/>
  <c r="C59" i="1"/>
  <c r="K20" i="6"/>
  <c r="B92" i="1"/>
  <c r="C120" i="1"/>
  <c r="C125" i="1"/>
  <c r="C30" i="1"/>
  <c r="C87" i="1"/>
  <c r="C86" i="1"/>
  <c r="C124" i="1"/>
  <c r="C73" i="1"/>
  <c r="B83" i="1"/>
  <c r="C126" i="1"/>
  <c r="C118" i="1"/>
  <c r="B79" i="1"/>
  <c r="C79" i="1"/>
  <c r="C116" i="1"/>
  <c r="B124" i="1"/>
  <c r="C72" i="1"/>
  <c r="B67" i="1"/>
  <c r="C53" i="1"/>
  <c r="C15" i="1"/>
  <c r="C135" i="1"/>
  <c r="B114" i="1"/>
  <c r="B103" i="1"/>
  <c r="C111" i="1"/>
  <c r="C20" i="1"/>
  <c r="C78" i="1"/>
  <c r="B91" i="1"/>
  <c r="B29" i="1"/>
  <c r="C100" i="1"/>
  <c r="B61" i="1"/>
  <c r="B116" i="1"/>
  <c r="B136" i="1"/>
  <c r="C85" i="1"/>
  <c r="C136" i="1"/>
  <c r="C97" i="1"/>
  <c r="C127" i="1"/>
  <c r="B133" i="1"/>
  <c r="B55" i="1"/>
  <c r="B40" i="1"/>
  <c r="C114" i="1"/>
  <c r="C110" i="1"/>
  <c r="B21" i="1"/>
  <c r="B51" i="1"/>
  <c r="C68" i="1"/>
  <c r="C92" i="1"/>
  <c r="B121" i="1"/>
  <c r="C48" i="1"/>
  <c r="C12" i="1"/>
  <c r="B93" i="1"/>
  <c r="C21" i="1"/>
  <c r="B19" i="1"/>
  <c r="C56" i="1"/>
  <c r="C44" i="1"/>
  <c r="B37" i="1"/>
  <c r="C109" i="1"/>
  <c r="B104" i="1"/>
  <c r="B84" i="1"/>
  <c r="B14" i="1"/>
  <c r="C95" i="1"/>
  <c r="B126" i="1"/>
  <c r="C74" i="1"/>
  <c r="B57" i="1"/>
  <c r="C23" i="1"/>
  <c r="C70" i="1"/>
  <c r="C67" i="1"/>
  <c r="B23" i="1"/>
  <c r="B120" i="1"/>
  <c r="B98" i="1"/>
  <c r="B99" i="1"/>
  <c r="C76" i="1"/>
  <c r="C99" i="1"/>
  <c r="B95" i="1"/>
  <c r="B52" i="1"/>
  <c r="B36" i="1"/>
  <c r="C25" i="1"/>
  <c r="C82" i="1"/>
  <c r="B35" i="1"/>
  <c r="C22" i="1"/>
  <c r="B66" i="1"/>
  <c r="B132" i="1"/>
  <c r="B42" i="1"/>
  <c r="B102" i="1"/>
  <c r="B109" i="1"/>
  <c r="C103" i="1"/>
  <c r="C91" i="1"/>
  <c r="B17" i="1"/>
  <c r="B81" i="1"/>
  <c r="C18" i="1"/>
  <c r="C63" i="1"/>
  <c r="B137" i="1"/>
  <c r="B13" i="1"/>
  <c r="B27" i="1"/>
  <c r="C80" i="1"/>
  <c r="C60" i="1"/>
  <c r="C105" i="1"/>
  <c r="B112" i="1"/>
  <c r="C31" i="1"/>
  <c r="B44" i="1"/>
  <c r="B115" i="1"/>
  <c r="C137" i="1"/>
  <c r="C117" i="1"/>
  <c r="C40" i="1"/>
  <c r="C131" i="1"/>
  <c r="B134" i="1"/>
  <c r="B25" i="1"/>
  <c r="B56" i="1"/>
  <c r="C24" i="1"/>
  <c r="B74" i="1"/>
  <c r="B78" i="1"/>
  <c r="B12" i="1"/>
  <c r="B65" i="1"/>
  <c r="B87" i="1"/>
  <c r="C52" i="1"/>
  <c r="C65" i="1"/>
  <c r="B77" i="1"/>
  <c r="B108" i="1"/>
  <c r="C51" i="1"/>
  <c r="B49" i="1"/>
  <c r="B101" i="1"/>
  <c r="C14" i="1"/>
  <c r="C26" i="1"/>
  <c r="B64" i="1"/>
  <c r="B129" i="1"/>
  <c r="B39" i="1"/>
  <c r="B128" i="1"/>
  <c r="B16" i="1"/>
  <c r="C121" i="1"/>
  <c r="B60" i="1"/>
  <c r="B76" i="1"/>
  <c r="C128" i="1"/>
  <c r="B110" i="1"/>
  <c r="K23" i="6"/>
  <c r="C57" i="1"/>
  <c r="C132" i="1"/>
  <c r="B33" i="1"/>
  <c r="C39" i="1"/>
  <c r="B123" i="1"/>
  <c r="K24" i="6"/>
  <c r="B100" i="1"/>
  <c r="B68" i="1"/>
  <c r="C104" i="1"/>
  <c r="B139" i="1"/>
  <c r="C75" i="1"/>
  <c r="C83" i="1"/>
  <c r="B96" i="1"/>
  <c r="B117" i="1"/>
  <c r="C129" i="1"/>
  <c r="C47" i="1"/>
  <c r="B47" i="1"/>
  <c r="B24" i="1"/>
  <c r="B59" i="1"/>
  <c r="C71" i="1"/>
  <c r="B86" i="1"/>
  <c r="B62" i="1"/>
  <c r="C38" i="1"/>
  <c r="B94" i="1"/>
  <c r="B135" i="1"/>
  <c r="C61" i="1"/>
  <c r="B31" i="1"/>
  <c r="B106" i="1"/>
  <c r="B131" i="1"/>
  <c r="C27" i="1"/>
  <c r="B28" i="1"/>
  <c r="B125" i="1"/>
  <c r="C41" i="1"/>
  <c r="C98" i="1"/>
  <c r="C42" i="1"/>
  <c r="C66" i="1"/>
  <c r="B18" i="1"/>
  <c r="B38" i="1"/>
  <c r="C32" i="1"/>
  <c r="C55" i="1"/>
  <c r="C130" i="1"/>
  <c r="B34" i="1"/>
  <c r="C33" i="1"/>
  <c r="B32" i="1"/>
  <c r="B45" i="1"/>
  <c r="B50" i="1"/>
  <c r="B111" i="1"/>
  <c r="B97" i="1"/>
  <c r="C45" i="1"/>
  <c r="B58" i="1"/>
  <c r="C90" i="1"/>
  <c r="B41" i="1"/>
  <c r="B72" i="1"/>
  <c r="C69" i="1"/>
  <c r="B48" i="1"/>
  <c r="B71" i="1"/>
  <c r="B82" i="1"/>
  <c r="C46" i="1"/>
  <c r="C35" i="1"/>
  <c r="B73" i="1"/>
  <c r="C34" i="1"/>
  <c r="C119" i="1"/>
  <c r="B80" i="1"/>
  <c r="C138" i="1"/>
  <c r="C37" i="1"/>
  <c r="B105" i="1"/>
  <c r="B130" i="1"/>
  <c r="C13" i="1"/>
  <c r="C17" i="1"/>
  <c r="C133" i="1"/>
  <c r="C93" i="1"/>
  <c r="C43" i="1"/>
  <c r="C96" i="1"/>
  <c r="C122" i="1"/>
  <c r="B88" i="1"/>
  <c r="N19" i="6"/>
  <c r="N24" i="6"/>
  <c r="E7" i="1"/>
  <c r="P22" i="6"/>
  <c r="E8" i="1"/>
  <c r="N21" i="6"/>
  <c r="Q24" i="6"/>
  <c r="P24" i="6"/>
  <c r="B6" i="1"/>
  <c r="H9" i="1"/>
  <c r="P23" i="6"/>
  <c r="B8" i="1"/>
  <c r="H8" i="1"/>
  <c r="M8" i="6"/>
  <c r="G8" i="1"/>
  <c r="B5" i="1"/>
  <c r="N23" i="6"/>
  <c r="M7" i="6"/>
  <c r="M10" i="6"/>
  <c r="R22" i="6"/>
  <c r="I12" i="6"/>
  <c r="H5" i="1"/>
  <c r="N20" i="6"/>
  <c r="M5" i="6"/>
  <c r="Q21" i="6"/>
  <c r="P21" i="6"/>
  <c r="Q22" i="6"/>
  <c r="M9" i="6"/>
  <c r="B7" i="1"/>
  <c r="I8" i="6"/>
  <c r="K22" i="6"/>
  <c r="G7" i="1"/>
  <c r="H6" i="1"/>
  <c r="E6" i="1"/>
  <c r="R21" i="6"/>
  <c r="M6" i="6"/>
  <c r="G9" i="1"/>
  <c r="E9" i="1"/>
  <c r="G6" i="1"/>
  <c r="N22" i="6"/>
  <c r="R19" i="6"/>
  <c r="R24" i="6"/>
  <c r="R20" i="6"/>
  <c r="R23" i="6"/>
  <c r="B9" i="1"/>
  <c r="E5" i="1"/>
  <c r="Q23" i="6"/>
  <c r="I11" i="6"/>
  <c r="G5" i="1"/>
  <c r="H7" i="1"/>
  <c r="J8" i="6" l="1"/>
  <c r="I3" i="6"/>
  <c r="D6" i="6"/>
  <c r="I6" i="1"/>
  <c r="E20" i="6"/>
  <c r="K19" i="6"/>
  <c r="F9" i="1"/>
  <c r="E19" i="6"/>
  <c r="F8" i="1"/>
  <c r="F5" i="1"/>
  <c r="E21" i="6"/>
  <c r="F7" i="1"/>
  <c r="I9" i="1"/>
  <c r="I8" i="1"/>
  <c r="I5" i="1"/>
  <c r="I7" i="1"/>
  <c r="E23" i="6"/>
  <c r="F6" i="1"/>
  <c r="E22" i="6"/>
  <c r="E24" i="6"/>
  <c r="Q19" i="6"/>
  <c r="P19" i="6"/>
  <c r="D24" i="6"/>
  <c r="C24" i="6"/>
  <c r="P20" i="6"/>
  <c r="I10" i="6"/>
  <c r="Q20" i="6"/>
  <c r="I4" i="6" l="1"/>
  <c r="D1" i="3" l="1"/>
  <c r="C20" i="6"/>
  <c r="D22" i="6"/>
  <c r="T23" i="6"/>
  <c r="U23" i="6"/>
  <c r="U21" i="6"/>
  <c r="D20" i="6"/>
  <c r="U19" i="6"/>
  <c r="T24" i="6"/>
  <c r="T20" i="6"/>
  <c r="H24" i="6"/>
  <c r="H22" i="6"/>
  <c r="U24" i="6"/>
  <c r="H19" i="6"/>
  <c r="B15" i="6"/>
  <c r="H20" i="6"/>
  <c r="H23" i="6"/>
  <c r="U20" i="6"/>
  <c r="C22" i="6"/>
  <c r="T22" i="6"/>
  <c r="D23" i="6"/>
  <c r="T19" i="6"/>
  <c r="C23" i="6"/>
  <c r="T21" i="6"/>
  <c r="C19" i="6"/>
  <c r="D19" i="6"/>
  <c r="C15" i="6"/>
  <c r="H21" i="6"/>
  <c r="U22" i="6"/>
  <c r="D21" i="6"/>
  <c r="D15" i="6" l="1"/>
  <c r="E15" i="6" s="1"/>
  <c r="O24" i="6"/>
  <c r="S22" i="6"/>
  <c r="J24" i="6"/>
  <c r="J21" i="6"/>
  <c r="J22" i="6"/>
  <c r="J19" i="6"/>
  <c r="J23" i="6"/>
  <c r="S20" i="6"/>
  <c r="O19" i="6"/>
  <c r="O20" i="6"/>
  <c r="O23" i="6"/>
  <c r="S23" i="6"/>
  <c r="J20" i="6"/>
  <c r="S19" i="6"/>
  <c r="S24" i="6"/>
  <c r="O21" i="6"/>
  <c r="O22" i="6"/>
  <c r="S21" i="6"/>
  <c r="M23" i="6" a="1"/>
  <c r="L22" i="6" a="1"/>
  <c r="L19" i="6" a="1"/>
  <c r="M20" i="6" a="1"/>
  <c r="M22" i="6" a="1"/>
  <c r="C11" i="6"/>
  <c r="B10" i="6"/>
  <c r="L24" i="6" a="1"/>
  <c r="L23" i="6" a="1"/>
  <c r="M24" i="6" a="1"/>
  <c r="B12" i="6"/>
  <c r="C12" i="6"/>
  <c r="C14" i="6"/>
  <c r="B11" i="6"/>
  <c r="C10" i="6"/>
  <c r="M19" i="6" a="1"/>
  <c r="B14" i="6"/>
  <c r="L21" i="6" a="1"/>
  <c r="M21" i="6" a="1"/>
  <c r="L20" i="6" a="1"/>
  <c r="C16" i="6" l="1"/>
  <c r="B16" i="6"/>
  <c r="I24" i="6"/>
  <c r="M24" i="6"/>
  <c r="L24" i="6"/>
  <c r="D10" i="6"/>
  <c r="E10" i="6" s="1"/>
  <c r="I22" i="6"/>
  <c r="L20" i="6"/>
  <c r="M19" i="6"/>
  <c r="M23" i="6"/>
  <c r="D14" i="6"/>
  <c r="E14" i="6" s="1"/>
  <c r="M22" i="6"/>
  <c r="I21" i="6"/>
  <c r="L19" i="6"/>
  <c r="L23" i="6"/>
  <c r="D12" i="6"/>
  <c r="E12" i="6" s="1"/>
  <c r="L22" i="6"/>
  <c r="M21" i="6"/>
  <c r="I20" i="6"/>
  <c r="D11" i="6"/>
  <c r="E11" i="6" s="1"/>
  <c r="I23" i="6"/>
  <c r="L21" i="6"/>
  <c r="M20" i="6"/>
  <c r="I19" i="6"/>
  <c r="D16" i="6" l="1"/>
  <c r="E16" i="6" s="1"/>
  <c r="C9" i="1"/>
  <c r="C8" i="1"/>
  <c r="C7" i="1"/>
  <c r="C6" i="1"/>
  <c r="D6" i="1"/>
  <c r="D9" i="1"/>
  <c r="D5" i="1"/>
  <c r="D8" i="1"/>
  <c r="D7" i="1"/>
  <c r="I9" i="6"/>
  <c r="E54" i="1" l="1"/>
  <c r="D54" i="1"/>
  <c r="C5" i="1" l="1"/>
  <c r="E118" i="1" l="1"/>
  <c r="E32" i="1"/>
  <c r="E43" i="1"/>
  <c r="E119" i="1"/>
  <c r="E126" i="1"/>
  <c r="E132" i="1"/>
  <c r="E84" i="1"/>
  <c r="E51" i="1"/>
  <c r="E19" i="1"/>
  <c r="E124" i="1"/>
  <c r="E36" i="1"/>
  <c r="E91" i="1"/>
  <c r="E55" i="1"/>
  <c r="E22" i="1"/>
  <c r="E135" i="1"/>
  <c r="E61" i="1"/>
  <c r="E102" i="1"/>
  <c r="E47" i="1"/>
  <c r="E90" i="1"/>
  <c r="E123" i="1"/>
  <c r="E139" i="1"/>
  <c r="E40" i="1"/>
  <c r="E108" i="1"/>
  <c r="E97" i="1"/>
  <c r="E88" i="1"/>
  <c r="E115" i="1"/>
  <c r="E133" i="1"/>
  <c r="E134" i="1"/>
  <c r="E86" i="1"/>
  <c r="E53" i="1"/>
  <c r="E21" i="1"/>
  <c r="E80" i="1"/>
  <c r="E18" i="1"/>
  <c r="E29" i="1"/>
  <c r="E65" i="1"/>
  <c r="E121" i="1"/>
  <c r="E14" i="1"/>
  <c r="E25" i="1"/>
  <c r="E16" i="1"/>
  <c r="E104" i="1"/>
  <c r="E68" i="1"/>
  <c r="E35" i="1"/>
  <c r="E107" i="1"/>
  <c r="E71" i="1"/>
  <c r="E109" i="1"/>
  <c r="E122" i="1"/>
  <c r="E82" i="1"/>
  <c r="E17" i="1"/>
  <c r="E15" i="1"/>
  <c r="E79" i="1"/>
  <c r="E140" i="1"/>
  <c r="E64" i="1"/>
  <c r="E31" i="1"/>
  <c r="E48" i="1"/>
  <c r="E105" i="1"/>
  <c r="E67" i="1"/>
  <c r="E34" i="1"/>
  <c r="E125" i="1"/>
  <c r="E114" i="1"/>
  <c r="E78" i="1"/>
  <c r="E131" i="1"/>
  <c r="E98" i="1"/>
  <c r="E76" i="1"/>
  <c r="E12" i="1"/>
  <c r="E138" i="1"/>
  <c r="E44" i="1"/>
  <c r="E28" i="1"/>
  <c r="E77" i="1"/>
  <c r="E99" i="1"/>
  <c r="E63" i="1"/>
  <c r="E30" i="1"/>
  <c r="E101" i="1"/>
  <c r="E110" i="1"/>
  <c r="E74" i="1"/>
  <c r="E120" i="1"/>
  <c r="E50" i="1"/>
  <c r="E112" i="1"/>
  <c r="E94" i="1"/>
  <c r="E130" i="1"/>
  <c r="E92" i="1"/>
  <c r="E56" i="1"/>
  <c r="E23" i="1"/>
  <c r="E136" i="1"/>
  <c r="E57" i="1"/>
  <c r="E95" i="1"/>
  <c r="E59" i="1"/>
  <c r="E26" i="1"/>
  <c r="E24" i="1"/>
  <c r="E85" i="1"/>
  <c r="E106" i="1"/>
  <c r="E70" i="1"/>
  <c r="E37" i="1"/>
  <c r="E52" i="1" l="1"/>
  <c r="E81" i="1"/>
  <c r="E41" i="1"/>
  <c r="E129" i="1"/>
  <c r="E116" i="1"/>
  <c r="E111" i="1"/>
  <c r="E42" i="1"/>
  <c r="E62" i="1"/>
  <c r="E27" i="1"/>
  <c r="E93" i="1"/>
  <c r="E89" i="1"/>
  <c r="E39" i="1"/>
  <c r="E49" i="1"/>
  <c r="E100" i="1"/>
  <c r="E46" i="1"/>
  <c r="E96" i="1"/>
  <c r="E45" i="1"/>
  <c r="E20" i="1"/>
  <c r="E60" i="1"/>
  <c r="E38" i="1"/>
  <c r="E75" i="1"/>
  <c r="E83" i="1"/>
  <c r="E58" i="1"/>
  <c r="E72" i="1"/>
  <c r="E137" i="1"/>
  <c r="E113" i="1"/>
  <c r="E69" i="1"/>
  <c r="E73" i="1"/>
  <c r="E117" i="1"/>
  <c r="E33" i="1"/>
  <c r="E128" i="1"/>
  <c r="E66" i="1"/>
  <c r="E13" i="1"/>
  <c r="E103" i="1"/>
  <c r="E87" i="1"/>
  <c r="E127" i="1"/>
  <c r="D124" i="1"/>
  <c r="D95" i="1"/>
  <c r="D37" i="1"/>
  <c r="D57" i="1"/>
  <c r="D89" i="1"/>
  <c r="D63" i="1"/>
  <c r="D138" i="1"/>
  <c r="D78" i="1"/>
  <c r="D48" i="1"/>
  <c r="D83" i="1"/>
  <c r="D38" i="1"/>
  <c r="D93" i="1"/>
  <c r="D86" i="1"/>
  <c r="D97" i="1"/>
  <c r="D47" i="1"/>
  <c r="D135" i="1"/>
  <c r="D84" i="1"/>
  <c r="D43" i="1"/>
  <c r="D23" i="1"/>
  <c r="D20" i="1"/>
  <c r="D101" i="1"/>
  <c r="D60" i="1"/>
  <c r="D140" i="1"/>
  <c r="D35" i="1"/>
  <c r="D75" i="1"/>
  <c r="D66" i="1"/>
  <c r="D120" i="1"/>
  <c r="D70" i="1"/>
  <c r="D136" i="1"/>
  <c r="D94" i="1"/>
  <c r="D99" i="1"/>
  <c r="D114" i="1"/>
  <c r="D31" i="1"/>
  <c r="D58" i="1"/>
  <c r="D15" i="1"/>
  <c r="D71" i="1"/>
  <c r="D16" i="1"/>
  <c r="D134" i="1"/>
  <c r="D39" i="1"/>
  <c r="D139" i="1"/>
  <c r="D22" i="1"/>
  <c r="D132" i="1"/>
  <c r="D125" i="1"/>
  <c r="D17" i="1"/>
  <c r="D29" i="1"/>
  <c r="D111" i="1"/>
  <c r="D55" i="1"/>
  <c r="D106" i="1"/>
  <c r="D79" i="1"/>
  <c r="D123" i="1"/>
  <c r="D56" i="1"/>
  <c r="D74" i="1"/>
  <c r="D28" i="1"/>
  <c r="D98" i="1"/>
  <c r="D81" i="1"/>
  <c r="D100" i="1"/>
  <c r="D116" i="1"/>
  <c r="D49" i="1"/>
  <c r="D137" i="1"/>
  <c r="D18" i="1"/>
  <c r="D133" i="1"/>
  <c r="D108" i="1"/>
  <c r="D90" i="1"/>
  <c r="D91" i="1"/>
  <c r="D113" i="1"/>
  <c r="D112" i="1"/>
  <c r="D41" i="1"/>
  <c r="D64" i="1"/>
  <c r="D107" i="1"/>
  <c r="D72" i="1"/>
  <c r="D126" i="1"/>
  <c r="D85" i="1"/>
  <c r="D24" i="1"/>
  <c r="D92" i="1"/>
  <c r="D110" i="1"/>
  <c r="D27" i="1"/>
  <c r="D131" i="1"/>
  <c r="D34" i="1"/>
  <c r="D69" i="1"/>
  <c r="D82" i="1"/>
  <c r="D73" i="1"/>
  <c r="D25" i="1"/>
  <c r="D80" i="1"/>
  <c r="D42" i="1"/>
  <c r="D117" i="1"/>
  <c r="D33" i="1"/>
  <c r="D36" i="1"/>
  <c r="D32" i="1"/>
  <c r="D122" i="1"/>
  <c r="D77" i="1"/>
  <c r="D26" i="1"/>
  <c r="D67" i="1"/>
  <c r="D14" i="1"/>
  <c r="D40" i="1"/>
  <c r="D118" i="1"/>
  <c r="D59" i="1"/>
  <c r="D130" i="1"/>
  <c r="D50" i="1"/>
  <c r="D52" i="1"/>
  <c r="D96" i="1"/>
  <c r="D46" i="1"/>
  <c r="D13" i="1"/>
  <c r="D103" i="1"/>
  <c r="D87" i="1"/>
  <c r="D68" i="1"/>
  <c r="D121" i="1"/>
  <c r="D21" i="1"/>
  <c r="D115" i="1"/>
  <c r="D102" i="1"/>
  <c r="D19" i="1"/>
  <c r="D128" i="1"/>
  <c r="D129" i="1"/>
  <c r="D30" i="1"/>
  <c r="D44" i="1"/>
  <c r="D76" i="1"/>
  <c r="D45" i="1"/>
  <c r="D105" i="1"/>
  <c r="D62" i="1"/>
  <c r="D109" i="1"/>
  <c r="D104" i="1"/>
  <c r="D65" i="1"/>
  <c r="D53" i="1"/>
  <c r="D88" i="1"/>
  <c r="D127" i="1"/>
  <c r="D61" i="1"/>
  <c r="D51" i="1"/>
  <c r="D119" i="1"/>
  <c r="D12" i="1"/>
</calcChain>
</file>

<file path=xl/sharedStrings.xml><?xml version="1.0" encoding="utf-8"?>
<sst xmlns="http://schemas.openxmlformats.org/spreadsheetml/2006/main" count="450" uniqueCount="287">
  <si>
    <t>Aatrox</t>
  </si>
  <si>
    <t>Ahri</t>
  </si>
  <si>
    <t>Akali</t>
  </si>
  <si>
    <t>Alistar</t>
  </si>
  <si>
    <t>Amumu</t>
  </si>
  <si>
    <t>Anivia</t>
  </si>
  <si>
    <t>Annie</t>
  </si>
  <si>
    <t>Ashe</t>
  </si>
  <si>
    <t>Azir</t>
  </si>
  <si>
    <t>Bard</t>
  </si>
  <si>
    <t>Blitzcrank</t>
  </si>
  <si>
    <t>Brand</t>
  </si>
  <si>
    <t>Braum</t>
  </si>
  <si>
    <t>Caitlyn</t>
  </si>
  <si>
    <t>Cassiopeia</t>
  </si>
  <si>
    <t>Cho'Gath</t>
  </si>
  <si>
    <t>Corki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</si>
  <si>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</si>
  <si>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</si>
  <si>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</si>
  <si>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</si>
  <si>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</si>
  <si>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</si>
  <si>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</si>
  <si>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</si>
  <si>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</si>
  <si>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</si>
  <si>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</si>
  <si>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</si>
  <si>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</si>
  <si>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</si>
  <si>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</si>
  <si>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</si>
  <si>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</si>
  <si>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</si>
  <si>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</si>
  <si>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</si>
  <si>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</si>
  <si>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Janna</t>
  </si>
  <si>
    <t>Jarvan IV</t>
  </si>
  <si>
    <t>Jax</t>
  </si>
  <si>
    <t>Jayce</t>
  </si>
  <si>
    <t>Jinx</t>
  </si>
  <si>
    <t>Kalista</t>
  </si>
  <si>
    <t>Karma</t>
  </si>
  <si>
    <t>Karthus</t>
  </si>
  <si>
    <t>Kassadin</t>
  </si>
  <si>
    <t>Katarina</t>
  </si>
  <si>
    <t>Kayle</t>
  </si>
  <si>
    <t>Kennen</t>
  </si>
  <si>
    <t>Kha'Zix</t>
  </si>
  <si>
    <t>Kindred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</si>
  <si>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</si>
  <si>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</si>
  <si>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</si>
  <si>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</si>
  <si>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</si>
  <si>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</si>
  <si>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</si>
  <si>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</si>
  <si>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Malphite</t>
  </si>
  <si>
    <t>Malzahar</t>
  </si>
  <si>
    <t>Maokai</t>
  </si>
  <si>
    <t>Master Yi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</si>
  <si>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</si>
  <si>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</si>
  <si>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</si>
  <si>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</si>
  <si>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</si>
  <si>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</si>
  <si>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</si>
  <si>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</si>
  <si>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</si>
  <si>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</si>
  <si>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</si>
  <si>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Pantheon</t>
  </si>
  <si>
    <t>Poppy</t>
  </si>
  <si>
    <t>Quinn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</si>
  <si>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</si>
  <si>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</si>
  <si>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</si>
  <si>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</si>
  <si>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</si>
  <si>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</si>
  <si>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</si>
  <si>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</si>
  <si>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</si>
  <si>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</si>
  <si>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</si>
  <si>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</si>
  <si>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</si>
  <si>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</si>
  <si>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</si>
  <si>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</si>
  <si>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</si>
  <si>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</si>
  <si>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</si>
  <si>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</si>
  <si>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</si>
  <si>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</si>
  <si>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</si>
  <si>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</si>
  <si>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</si>
  <si>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</si>
  <si>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</si>
  <si>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</si>
  <si>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</si>
  <si>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</si>
  <si>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</si>
  <si>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</si>
  <si>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</si>
  <si>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</si>
  <si>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</si>
  <si>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</si>
  <si>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</si>
  <si>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</si>
  <si>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</si>
  <si>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</si>
  <si>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</si>
  <si>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</si>
  <si>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</si>
  <si>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</si>
  <si>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</si>
  <si>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</si>
  <si>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</si>
  <si>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</si>
  <si>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</si>
  <si>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Zyra</t>
  </si>
  <si>
    <t>Champion</t>
  </si>
  <si>
    <t>Count</t>
  </si>
  <si>
    <t>Notes</t>
  </si>
  <si>
    <t>Wins</t>
  </si>
  <si>
    <t>Winrate</t>
  </si>
  <si>
    <t>KDA</t>
  </si>
  <si>
    <t>Win/Loss</t>
  </si>
  <si>
    <t>Role</t>
  </si>
  <si>
    <t>Kills</t>
  </si>
  <si>
    <t>Deaths</t>
  </si>
  <si>
    <t>Assists</t>
  </si>
  <si>
    <t>Ranked</t>
  </si>
  <si>
    <t>Normal</t>
  </si>
  <si>
    <t>CS</t>
  </si>
  <si>
    <t>Gold</t>
  </si>
  <si>
    <t>Lane opponent</t>
  </si>
  <si>
    <t>N. of plays</t>
  </si>
  <si>
    <t>All Champions</t>
  </si>
  <si>
    <t>Mode</t>
  </si>
  <si>
    <t>Hard matchup, rush hexdrinker &gt; shiv/pd, masteries 18/12 with warlord's for late game. Don’t fight her when she has stun. Can lose early CS.</t>
  </si>
  <si>
    <t>Skill matchup, if you wall her E you probably win, but juking her return Q true damage with your e is important as well.</t>
  </si>
  <si>
    <t>, don’t let her proc her Q for free. Her level 6 powerspike is insane, way more damage than you'd expect.</t>
  </si>
  <si>
    <t>Hard matchup, get hit by one Q &gt; E combo early and your lane is done. Get a Shiv, waveclear and roam. Nothing to be done midlane. After 6 Anivia will always push with her ult, make sure to roam good, otherwise you'll lose too much farm.</t>
  </si>
  <si>
    <t>Hard matchup, his damage is insane. Block his Q with your windwall for stun, or juke it with E. Just don't get hit by it. Also, his ult can be windwalled.</t>
  </si>
  <si>
    <t>Game length</t>
  </si>
  <si>
    <t>CS/min</t>
  </si>
  <si>
    <t>Min</t>
  </si>
  <si>
    <t>Sec</t>
  </si>
  <si>
    <t>Mid</t>
  </si>
  <si>
    <t>Summary</t>
  </si>
  <si>
    <t>Gold/min</t>
  </si>
  <si>
    <t>Date</t>
  </si>
  <si>
    <t>Patch</t>
  </si>
  <si>
    <t>Game time</t>
  </si>
  <si>
    <t>Changelog</t>
  </si>
  <si>
    <t>Added individual champion stats in General Stats</t>
  </si>
  <si>
    <t>Added button to insert new game</t>
  </si>
  <si>
    <t>Added match overview and match stats</t>
  </si>
  <si>
    <t>Added stats across all champions</t>
  </si>
  <si>
    <t>Added separate winrates for ranked and normal</t>
  </si>
  <si>
    <t>Fixed several formulas</t>
  </si>
  <si>
    <t>Fixed inserting new match messing with formulas HAIL INDIRECT</t>
  </si>
  <si>
    <t>Added lane matchups for all champions and saving of notes</t>
  </si>
  <si>
    <t>Just a matchup, not much kill pressure. His mana costs are pretty high, so you can push the lane and roam. After 6 be careful of his true damage.</t>
  </si>
  <si>
    <t>Easy matchup, he is immobile, take advantage of that. Don't stand to long in his W though, since it does quite some damage.</t>
  </si>
  <si>
    <t>Easy matchup, pre-6 he is very immobile and you can outtrade him. After 6 he becomes very slippery, buy Yasuo still has kill pressure. Pay attention to whether he has ignite or tp.</t>
  </si>
  <si>
    <t>Hard matchup, early hexdrinker great buy. Wall her Q so she doesn't deal too much damage with her Q &gt; W combo. Dodge her W's with E.</t>
  </si>
  <si>
    <t>ARAM</t>
  </si>
  <si>
    <t>Added ARAM winrate, other stats ignore ARAM games</t>
  </si>
  <si>
    <t>Added winrates for last 50 games</t>
  </si>
  <si>
    <t>Easy matchup, wall her spear, win lane. Don't trade when hit by spear.</t>
  </si>
  <si>
    <t>Top</t>
  </si>
  <si>
    <t>Added stats for last 50 games</t>
  </si>
  <si>
    <t>, wall his Q. Care for his passive, don't take long trades. Trade Q3 &gt; EQ &gt; AA &gt; out. Not much kill pressure because ult. He can't ult while CC'd.</t>
  </si>
  <si>
    <t>Hard matchup, you can never trade. Best to just farm and try to make tp plays.</t>
  </si>
  <si>
    <t>Hard matchup, can't trade. Freeze close to turret so he can't dash through minions and stun you. Never give him that oppurtunity.</t>
  </si>
  <si>
    <t>Easy matchup, dodge his Q and take long trades once you have Phage and Sheen.</t>
  </si>
  <si>
    <t>Last 10</t>
  </si>
  <si>
    <t>Fixed average game time not calculating correctly</t>
  </si>
  <si>
    <t>Support</t>
  </si>
  <si>
    <t>Jungle</t>
  </si>
  <si>
    <t>Hard matchup, can easily bully you with Q. After he gets Sheen, don't trade.</t>
  </si>
  <si>
    <t>Play %</t>
  </si>
  <si>
    <t>General stats</t>
  </si>
  <si>
    <t>ADC</t>
  </si>
  <si>
    <t>Playrate</t>
  </si>
  <si>
    <t>Fixed CS formulas not showing anything when champion not played in last matches</t>
  </si>
  <si>
    <t>Added stats per role in matchups overview per champion</t>
  </si>
  <si>
    <t>Jhin</t>
  </si>
  <si>
    <t>Cleaned matchups overview, less clutter</t>
  </si>
  <si>
    <t>Added Jhin</t>
  </si>
  <si>
    <t>Removed dev notes</t>
  </si>
  <si>
    <t>Hard matchup, after 6 she can ult you and almost kill you, with jungler you're dead. Early levels you can poke her down.</t>
  </si>
  <si>
    <t>Losses</t>
  </si>
  <si>
    <t>, go ham on him lvl 1 with Thunderlord's. Then proceed to zone him will he chunks potions. Trade when he just used soldiers, or when he is overextended.</t>
  </si>
  <si>
    <t>Easy matchup</t>
  </si>
  <si>
    <t>Fixed some rounding and calculation issues</t>
  </si>
  <si>
    <t>Added average grade and grade values</t>
  </si>
  <si>
    <t>Hard matchup, never get hit by his kegs, juke with e. Don't fight in his ult. Take Grasp for sustain and longer fights.</t>
  </si>
  <si>
    <t>Go afk. There is no hope.</t>
  </si>
  <si>
    <t>Total</t>
  </si>
  <si>
    <t>Added ARAM counts</t>
  </si>
  <si>
    <t>Featured</t>
  </si>
  <si>
    <t>Added support for as much gamemodes as you want</t>
  </si>
  <si>
    <t>Region:</t>
  </si>
  <si>
    <t>ID:</t>
  </si>
  <si>
    <t>Game ID</t>
  </si>
  <si>
    <t>Multikill</t>
  </si>
  <si>
    <t>Added automatic game fetching from Riot API</t>
  </si>
  <si>
    <t>Added largest multikill per game</t>
  </si>
  <si>
    <t>Wards</t>
  </si>
  <si>
    <t>Placed</t>
  </si>
  <si>
    <t>Killed</t>
  </si>
  <si>
    <t>Custom</t>
  </si>
  <si>
    <t>Readded date</t>
  </si>
  <si>
    <t>Added ward stats</t>
  </si>
  <si>
    <t>Moved stats to Front sheet, General stats now only holds match history with summary</t>
  </si>
  <si>
    <t>Averages</t>
  </si>
  <si>
    <t>Overall (last 10 games)</t>
  </si>
  <si>
    <t>Totals</t>
  </si>
  <si>
    <t>Wards placed</t>
  </si>
  <si>
    <t>Wards killed</t>
  </si>
  <si>
    <t>All</t>
  </si>
  <si>
    <t>Added totals</t>
  </si>
  <si>
    <t>Fixed a bug where custom games appeared as featured</t>
  </si>
  <si>
    <t>Added averages for wards placed and killed</t>
  </si>
  <si>
    <t>Fixed numerous bugs regarding stats not just taking normal and ranked games into account</t>
  </si>
  <si>
    <t>API key:</t>
  </si>
  <si>
    <t>Saved!</t>
  </si>
  <si>
    <t>Added automatic deleting of id when summoner name is changed</t>
  </si>
  <si>
    <t>Added ability to set api key</t>
  </si>
  <si>
    <t>Added check for api key</t>
  </si>
  <si>
    <t>Insert your summoner name and region here:</t>
  </si>
  <si>
    <t>Summoner name:</t>
  </si>
  <si>
    <t>Added automatic lane opponent finding</t>
  </si>
  <si>
    <t>Match history analyzer</t>
  </si>
  <si>
    <t>Developed by ikhebgeenaccount</t>
  </si>
  <si>
    <t>Contribution by Godzellal</t>
  </si>
  <si>
    <t>Fixed error when not having played at least ten games</t>
  </si>
  <si>
    <t>Fixed error on not having a lane opponent</t>
  </si>
  <si>
    <t>Summoner info</t>
  </si>
  <si>
    <t>League:</t>
  </si>
  <si>
    <t>Known issues</t>
  </si>
  <si>
    <t>When an opponent was afk, lane opponent gets messed up</t>
  </si>
  <si>
    <t>Damage</t>
  </si>
  <si>
    <t>To champs</t>
  </si>
  <si>
    <t>LP:</t>
  </si>
  <si>
    <t>Added summoner overview with league, division and lp</t>
  </si>
  <si>
    <t>Dmg/min</t>
  </si>
  <si>
    <t>Added damage stats</t>
  </si>
  <si>
    <t>Added winrates to totals</t>
  </si>
  <si>
    <t>Removed ARAM winrates per champ</t>
  </si>
  <si>
    <t>Time played</t>
  </si>
  <si>
    <t>Added total time</t>
  </si>
  <si>
    <t>Games per day:</t>
  </si>
  <si>
    <t>Time per day:</t>
  </si>
  <si>
    <t>Improved time it takes to update</t>
  </si>
  <si>
    <t>Added damage per minute in match history overview</t>
  </si>
  <si>
    <t>Fixed winrate taking other games than ranked and normals into account</t>
  </si>
  <si>
    <t>Champion mastery</t>
  </si>
  <si>
    <t>Points</t>
  </si>
  <si>
    <t>Time played today:</t>
  </si>
  <si>
    <t>Added time played today</t>
  </si>
  <si>
    <t>Added champion mastery with average games per day for top four</t>
  </si>
  <si>
    <t>Wins/losses today:</t>
  </si>
  <si>
    <t>Added wins/losses from today</t>
  </si>
  <si>
    <t>Fixed jungle cs not being added to cs</t>
  </si>
  <si>
    <t>Total games in sheet:</t>
  </si>
  <si>
    <t>Added two more entries for champion mastery</t>
  </si>
  <si>
    <t>Fixed several occasions where wrong gamemodes were counted by averages</t>
  </si>
  <si>
    <t>Improved matchup update time</t>
  </si>
  <si>
    <t>Fixed bot games appearing as featured</t>
  </si>
  <si>
    <t>Bot</t>
  </si>
  <si>
    <t>Added bot games to totals</t>
  </si>
  <si>
    <t>Games/day</t>
  </si>
  <si>
    <t>Statistics over normal and ranked games</t>
  </si>
  <si>
    <t>Epoch</t>
  </si>
  <si>
    <t>Fixed date played always on today's date instead of real play date</t>
  </si>
  <si>
    <t>Fixed a bug that caused average game time to be incorrect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</si>
</sst>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72">
    <xf numFmtId="0" fontId="0" fillId="0" borderId="0" xfId="0"/>
    <xf numFmtId="0" fontId="3" fillId="0" borderId="0" xfId="0" applyFont="1"/>
    <xf numFmtId="0" fontId="0" fillId="0" borderId="0" xfId="0" applyFont="1"/>
    <xf numFmtId="9" fontId="0" fillId="0" borderId="0" xfId="1" applyFont="1"/>
    <xf numFmtId="0" fontId="5" fillId="0" borderId="0" xfId="2" applyFont="1"/>
    <xf numFmtId="1" fontId="0" fillId="0" borderId="1" xfId="0" applyNumberFormat="1" applyBorder="1" applyAlignment="1">
      <alignment horizontal="right"/>
    </xf>
    <xf numFmtId="2" fontId="0" fillId="0" borderId="1" xfId="0" applyNumberFormat="1" applyBorder="1" applyAlignment="1">
      <alignment horizontal="right"/>
    </xf>
    <xf numFmtId="9" fontId="1" fillId="0" borderId="1" xfId="1" applyFont="1" applyBorder="1"/>
    <xf numFmtId="9" fontId="0" fillId="0" borderId="1" xfId="1" applyFont="1" applyBorder="1"/>
    <xf numFmtId="0" fontId="0" fillId="0" borderId="1" xfId="0" applyBorder="1"/>
    <xf numFmtId="0" fontId="3" fillId="0" borderId="2" xfId="0" applyFont="1" applyBorder="1"/>
    <xf numFmtId="0" fontId="3" fillId="0" borderId="3" xfId="0" applyFont="1" applyBorder="1"/>
    <xf numFmtId="0" fontId="3" fillId="0" borderId="5" xfId="0" applyFont="1" applyBorder="1"/>
    <xf numFmtId="9" fontId="0" fillId="0" borderId="4" xfId="1" applyFont="1" applyBorder="1"/>
    <xf numFmtId="0" fontId="0" fillId="0" borderId="0" xfId="0" applyBorder="1" applyAlignment="1">
      <alignment horizontal="right"/>
    </xf>
    <xf numFmtId="1" fontId="0" fillId="0" borderId="0" xfId="0" applyNumberFormat="1" applyBorder="1" applyAlignment="1">
      <alignment horizontal="right"/>
    </xf>
    <xf numFmtId="0" fontId="0" fillId="0" borderId="0" xfId="0" applyBorder="1"/>
    <xf numFmtId="0" fontId="3" fillId="0" borderId="0" xfId="0" applyFont="1" applyBorder="1"/>
    <xf numFmtId="9" fontId="0" fillId="0" borderId="0" xfId="1" applyFont="1" applyBorder="1"/>
    <xf numFmtId="2" fontId="0" fillId="0" borderId="0" xfId="0" applyNumberFormat="1" applyBorder="1" applyAlignment="1">
      <alignment horizontal="right"/>
    </xf>
    <xf numFmtId="9" fontId="0" fillId="0" borderId="0" xfId="1" applyFont="1" applyAlignment="1">
      <alignment horizontal="right"/>
    </xf>
    <xf numFmtId="0" fontId="0" fillId="0" borderId="0" xfId="0" applyProtection="1">
      <protection locked="0"/>
    </xf>
    <xf numFmtId="0" fontId="3" fillId="0" borderId="6" xfId="0" applyFont="1" applyBorder="1"/>
    <xf numFmtId="164" fontId="0" fillId="0" borderId="7" xfId="0" applyNumberFormat="1" applyFont="1" applyBorder="1"/>
    <xf numFmtId="0" fontId="0" fillId="0" borderId="7" xfId="0" applyFont="1" applyBorder="1"/>
    <xf numFmtId="49" fontId="0" fillId="0" borderId="6" xfId="0" applyNumberFormat="1" applyBorder="1"/>
    <xf numFmtId="49" fontId="3" fillId="0" borderId="0" xfId="0" applyNumberFormat="1" applyFont="1" applyBorder="1"/>
    <xf numFmtId="0" fontId="3" fillId="0" borderId="7" xfId="0" applyFont="1" applyBorder="1"/>
    <xf numFmtId="0" fontId="3" fillId="0" borderId="0" xfId="0" applyFont="1" applyFill="1" applyBorder="1"/>
    <xf numFmtId="0" fontId="0" fillId="0" borderId="6" xfId="0" applyBorder="1"/>
    <xf numFmtId="0" fontId="0" fillId="0" borderId="2" xfId="0" applyBorder="1"/>
    <xf numFmtId="0" fontId="3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9" xfId="0" applyBorder="1" applyProtection="1">
      <protection locked="0"/>
    </xf>
    <xf numFmtId="0" fontId="0" fillId="0" borderId="0" xfId="0" applyBorder="1" applyProtection="1">
      <protection locked="0"/>
    </xf>
    <xf numFmtId="0" fontId="3" fillId="0" borderId="0" xfId="0" applyFont="1" applyProtection="1"/>
    <xf numFmtId="0" fontId="3" fillId="0" borderId="0" xfId="0" applyNumberFormat="1" applyFont="1" applyProtection="1"/>
    <xf numFmtId="14" fontId="3" fillId="0" borderId="0" xfId="0" applyNumberFormat="1" applyFont="1" applyProtection="1"/>
    <xf numFmtId="1" fontId="3" fillId="0" borderId="0" xfId="0" applyNumberFormat="1" applyFont="1" applyProtection="1"/>
    <xf numFmtId="0" fontId="0" fillId="0" borderId="0" xfId="0" applyFont="1" applyProtection="1"/>
    <xf numFmtId="0" fontId="0" fillId="0" borderId="0" xfId="0" applyNumberFormat="1" applyFont="1" applyProtection="1"/>
    <xf numFmtId="14" fontId="0" fillId="0" borderId="0" xfId="0" applyNumberFormat="1" applyFont="1" applyProtection="1"/>
    <xf numFmtId="1" fontId="0" fillId="0" borderId="0" xfId="0" applyNumberFormat="1" applyFont="1" applyProtection="1"/>
    <xf numFmtId="49" fontId="0" fillId="0" borderId="0" xfId="0" applyNumberFormat="1" applyFont="1" applyProtection="1"/>
    <xf numFmtId="0" fontId="0" fillId="0" borderId="0" xfId="0" applyProtection="1"/>
    <xf numFmtId="0" fontId="0" fillId="0" borderId="0" xfId="0" applyNumberFormat="1" applyProtection="1"/>
    <xf numFmtId="14" fontId="0" fillId="0" borderId="0" xfId="0" applyNumberFormat="1" applyProtection="1"/>
    <xf numFmtId="1" fontId="0" fillId="0" borderId="0" xfId="0" applyNumberFormat="1" applyProtection="1"/>
    <xf numFmtId="49" fontId="0" fillId="0" borderId="0" xfId="0" applyNumberFormat="1" applyProtection="1"/>
    <xf numFmtId="2" fontId="0" fillId="0" borderId="0" xfId="0" applyNumberFormat="1" applyFont="1" applyProtection="1"/>
    <xf numFmtId="2" fontId="0" fillId="0" borderId="0" xfId="0" applyNumberFormat="1" applyProtection="1"/>
    <xf numFmtId="0" fontId="0" fillId="0" borderId="6" xfId="0" applyBorder="1" applyProtection="1">
      <protection locked="0"/>
    </xf>
    <xf numFmtId="0" fontId="0" fillId="0" borderId="1" xfId="0" applyBorder="1" applyProtection="1">
      <protection locked="0"/>
    </xf>
    <xf numFmtId="0" fontId="3" fillId="0" borderId="10" xfId="0" applyFont="1" applyBorder="1"/>
    <xf numFmtId="0" fontId="0" fillId="0" borderId="8" xfId="0" applyFont="1" applyFill="1" applyBorder="1"/>
    <xf numFmtId="0" fontId="0" fillId="0" borderId="9" xfId="0" applyFont="1" applyFill="1" applyBorder="1"/>
    <xf numFmtId="0" fontId="0" fillId="0" borderId="8" xfId="0" applyBorder="1"/>
    <xf numFmtId="0" fontId="0" fillId="0" borderId="9" xfId="0" applyBorder="1" applyAlignment="1">
      <alignment horizontal="left"/>
    </xf>
    <xf numFmtId="9" fontId="0" fillId="0" borderId="7" xfId="1" applyFont="1" applyBorder="1"/>
    <xf numFmtId="9" fontId="0" fillId="0" borderId="3" xfId="1" applyFont="1" applyBorder="1"/>
    <xf numFmtId="0" fontId="0" fillId="0" borderId="7" xfId="0" applyBorder="1"/>
    <xf numFmtId="1" fontId="0" fillId="0" borderId="4" xfId="0" applyNumberFormat="1" applyBorder="1" applyAlignment="1">
      <alignment horizontal="right"/>
    </xf>
    <xf numFmtId="2" fontId="0" fillId="0" borderId="4" xfId="0" applyNumberFormat="1" applyBorder="1" applyAlignment="1">
      <alignment horizontal="right"/>
    </xf>
    <xf numFmtId="0" fontId="6" fillId="0" borderId="0" xfId="0" applyFont="1"/>
    <xf numFmtId="0" fontId="0" fillId="0" borderId="7" xfId="0" applyBorder="1" applyAlignment="1">
      <alignment horizontal="right"/>
    </xf>
    <xf numFmtId="164" fontId="0" fillId="0" borderId="0" xfId="0" applyNumberFormat="1" applyBorder="1"/>
    <xf numFmtId="0" fontId="0" fillId="0" borderId="3" xfId="0" applyBorder="1"/>
    <xf numFmtId="0" fontId="2" fillId="0" borderId="2" xfId="2" applyBorder="1"/>
    <xf numFmtId="14" fontId="0" fillId="0" borderId="9" xfId="0" applyNumberFormat="1" applyBorder="1"/>
    <xf numFmtId="0" fontId="2" fillId="0" borderId="0" xfId="2" applyBorder="1"/>
    <xf numFmtId="0" fontId="2" fillId="0" borderId="1" xfId="2" applyBorder="1"/>
  </cellXfs>
  <cellStyles count="3">
    <cellStyle name="Normal" xfId="0" builtinId="0"/>
    <cellStyle name="Percent" xfId="1" builtinId="5"/>
    <cellStyle name="Warning Text" xfId="2" builtinId="1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99060</xdr:colOff>
          <xdr:row>2</xdr:row>
          <xdr:rowOff>60960</xdr:rowOff>
        </xdr:from>
        <xdr:to>
          <xdr:col>18</xdr:col>
          <xdr:colOff>624840</xdr:colOff>
          <xdr:row>6</xdr:row>
          <xdr:rowOff>91440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6</xdr:row>
          <xdr:rowOff>152400</xdr:rowOff>
        </xdr:from>
        <xdr:to>
          <xdr:col>14</xdr:col>
          <xdr:colOff>0</xdr:colOff>
          <xdr:row>10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Changelog line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U24"/>
  <sheetViews>
    <sheetView tabSelected="1" workbookViewId="0">
      <selection activeCell="C3" sqref="C3"/>
    </sheetView>
  </sheetViews>
  <sheetFormatPr defaultRowHeight="14.4" x14ac:dyDescent="0.3"/>
  <cols>
    <col min="2" max="2" width="11" customWidth="1"/>
    <col min="3" max="3" width="11.109375" customWidth="1"/>
    <col min="4" max="5" width="11" customWidth="1"/>
    <col min="7" max="7" width="12.44140625" bestFit="1" customWidth="1"/>
    <col min="8" max="8" width="9.88671875" bestFit="1" customWidth="1"/>
    <col min="11" max="11" width="9.33203125" customWidth="1"/>
    <col min="12" max="13" width="8.88671875" customWidth="1"/>
    <col min="14" max="16" width="9.6640625" bestFit="1" customWidth="1"/>
    <col min="17" max="17" width="9.5546875" bestFit="1" customWidth="1"/>
    <col min="18" max="18" width="9" bestFit="1" customWidth="1"/>
    <col min="19" max="19" width="10.109375" bestFit="1" customWidth="1"/>
  </cols>
  <sheetData>
    <row r="1" spans="1:19" s="1" customFormat="1" x14ac:dyDescent="0.3"/>
    <row r="2" spans="1:19" s="1" customFormat="1" x14ac:dyDescent="0.3">
      <c r="A2" s="1" t="s">
        <v>240</v>
      </c>
      <c r="G2" s="1" t="s">
        <v>248</v>
      </c>
    </row>
    <row r="3" spans="1:19" x14ac:dyDescent="0.3">
      <c r="A3" s="31" t="s">
        <v>241</v>
      </c>
      <c r="B3" s="32"/>
      <c r="C3" s="34"/>
      <c r="D3" s="33"/>
      <c r="G3" s="31" t="s">
        <v>241</v>
      </c>
      <c r="H3" s="32"/>
      <c r="I3" s="58">
        <f>C3</f>
        <v>0</v>
      </c>
      <c r="J3" s="32"/>
      <c r="K3" s="31" t="s">
        <v>267</v>
      </c>
      <c r="L3" s="32"/>
      <c r="M3" s="32"/>
      <c r="N3" s="32"/>
      <c r="O3" s="69"/>
      <c r="P3" s="32"/>
      <c r="Q3" s="32"/>
      <c r="R3" s="32"/>
      <c r="S3" s="33"/>
    </row>
    <row r="4" spans="1:19" x14ac:dyDescent="0.3">
      <c r="A4" s="27" t="s">
        <v>213</v>
      </c>
      <c r="B4" s="16"/>
      <c r="C4" s="35"/>
      <c r="D4" s="71" t="str">
        <f>IF(C4="","Will be set on first update","")</f>
        <v>Will be set on first update</v>
      </c>
      <c r="G4" s="27" t="s">
        <v>212</v>
      </c>
      <c r="H4" s="16"/>
      <c r="I4" s="14">
        <f>C5</f>
        <v>0</v>
      </c>
      <c r="J4" s="16"/>
      <c r="K4" s="27" t="s">
        <v>128</v>
      </c>
      <c r="L4" s="17" t="s">
        <v>268</v>
      </c>
      <c r="M4" s="17" t="s">
        <v>282</v>
      </c>
      <c r="N4" s="16"/>
      <c r="O4" s="16"/>
      <c r="P4" s="16"/>
      <c r="Q4" s="16"/>
      <c r="R4" s="16"/>
      <c r="S4" s="9"/>
    </row>
    <row r="5" spans="1:19" x14ac:dyDescent="0.3">
      <c r="A5" s="27" t="s">
        <v>212</v>
      </c>
      <c r="B5" s="16"/>
      <c r="C5" s="16"/>
      <c r="D5" s="9"/>
      <c r="G5" s="27" t="s">
        <v>249</v>
      </c>
      <c r="H5" s="16"/>
      <c r="I5" s="14"/>
      <c r="J5" s="16"/>
      <c r="K5" s="61"/>
      <c r="L5" s="16"/>
      <c r="M5" s="66" t="str">
        <f t="shared" ref="M5:M10" ca="1" si="0">IFERROR(IF(K5&lt;&gt;"",SUMPRODUCT((GameListChampion=K5)*1)/(TODAY()-MIN(GameListDate)),""),0)</f>
        <v/>
      </c>
      <c r="N5" s="16"/>
      <c r="O5" s="16"/>
      <c r="P5" s="16"/>
      <c r="Q5" s="16"/>
      <c r="R5" s="16"/>
      <c r="S5" s="9"/>
    </row>
    <row r="6" spans="1:19" x14ac:dyDescent="0.3">
      <c r="A6" s="11" t="s">
        <v>235</v>
      </c>
      <c r="B6" s="29"/>
      <c r="C6" s="29" t="s">
        <v>236</v>
      </c>
      <c r="D6" s="68" t="str">
        <f>IF($AP$1="","No API key set","")</f>
        <v>No API key set</v>
      </c>
      <c r="G6" s="27" t="s">
        <v>254</v>
      </c>
      <c r="H6" s="16"/>
      <c r="I6" s="14"/>
      <c r="J6" s="16"/>
      <c r="K6" s="61"/>
      <c r="L6" s="16"/>
      <c r="M6" s="66" t="str">
        <f t="shared" ca="1" si="0"/>
        <v/>
      </c>
      <c r="N6" s="16"/>
      <c r="O6" s="16"/>
      <c r="P6" s="16"/>
      <c r="Q6" s="16"/>
      <c r="R6" s="16"/>
      <c r="S6" s="9"/>
    </row>
    <row r="7" spans="1:19" x14ac:dyDescent="0.3">
      <c r="G7" s="27"/>
      <c r="H7" s="16"/>
      <c r="I7" s="14"/>
      <c r="J7" s="16"/>
      <c r="K7" s="61"/>
      <c r="L7" s="16"/>
      <c r="M7" s="66" t="str">
        <f t="shared" ca="1" si="0"/>
        <v/>
      </c>
      <c r="N7" s="16"/>
      <c r="O7" s="16"/>
      <c r="P7" s="16"/>
      <c r="Q7" s="16"/>
      <c r="R7" s="16"/>
      <c r="S7" s="9"/>
    </row>
    <row r="8" spans="1:19" x14ac:dyDescent="0.3">
      <c r="G8" s="27" t="s">
        <v>275</v>
      </c>
      <c r="H8" s="16"/>
      <c r="I8" s="16">
        <f ca="1">SUMPRODUCT((GameListChampion&lt;&gt;"")*1)</f>
        <v>0</v>
      </c>
      <c r="J8" s="70" t="str">
        <f ca="1">IF(I8&gt;=4998,"MAX NUMBER OF GAMES REACHED","")</f>
        <v/>
      </c>
      <c r="K8" s="61"/>
      <c r="L8" s="16"/>
      <c r="M8" s="66" t="str">
        <f t="shared" ca="1" si="0"/>
        <v/>
      </c>
      <c r="N8" s="16"/>
      <c r="O8" s="16"/>
      <c r="P8" s="16"/>
      <c r="Q8" s="16"/>
      <c r="R8" s="16"/>
      <c r="S8" s="9"/>
    </row>
    <row r="9" spans="1:19" x14ac:dyDescent="0.3">
      <c r="A9" s="25"/>
      <c r="B9" s="11" t="s">
        <v>131</v>
      </c>
      <c r="C9" s="22" t="s">
        <v>201</v>
      </c>
      <c r="D9" s="11" t="s">
        <v>208</v>
      </c>
      <c r="E9" s="11" t="s">
        <v>132</v>
      </c>
      <c r="G9" s="27" t="s">
        <v>262</v>
      </c>
      <c r="H9" s="16"/>
      <c r="I9" s="66">
        <f ca="1">IFERROR(D16/(TODAY() - MIN(GameListDate)),0)</f>
        <v>0</v>
      </c>
      <c r="J9" s="16"/>
      <c r="K9" s="61"/>
      <c r="L9" s="16"/>
      <c r="M9" s="66" t="str">
        <f t="shared" ca="1" si="0"/>
        <v/>
      </c>
      <c r="N9" s="16"/>
      <c r="O9" s="16"/>
      <c r="P9" s="16"/>
      <c r="Q9" s="16"/>
      <c r="R9" s="16"/>
      <c r="S9" s="9"/>
    </row>
    <row r="10" spans="1:19" x14ac:dyDescent="0.3">
      <c r="A10" s="26" t="s">
        <v>139</v>
      </c>
      <c r="B10" s="24">
        <f t="shared" ref="B10:B15" ca="1" si="1">IFERROR(SUMPRODUCT((GameListMode=A10)*(GameListWinLoss=1)),0)</f>
        <v>0</v>
      </c>
      <c r="C10" s="2">
        <f t="shared" ref="C10:C15" ca="1" si="2">IFERROR(SUMPRODUCT((GameListMode=A10)*(GameListWinLoss=0)),0)</f>
        <v>0</v>
      </c>
      <c r="D10" s="24">
        <f t="shared" ref="D10:D15" ca="1" si="3">SUM(B10:C10)</f>
        <v>0</v>
      </c>
      <c r="E10" s="59">
        <f ca="1">IFERROR(B10/D10,0)</f>
        <v>0</v>
      </c>
      <c r="G10" s="27" t="s">
        <v>263</v>
      </c>
      <c r="H10" s="16"/>
      <c r="I10" s="14" t="str">
        <f ca="1">IFERROR(CONCATENATE(
 ROUNDDOWN(ROUNDDOWN(SUMPRODUCT((GameListChampion&lt;&gt;"")*((GameListMin*60)+(GameListSec)))/(MAX(GameListDate) - MIN(GameListDate)), 0)/3600, 0),
 ":",
 ROUNDDOWN((ROUNDDOWN(SUMPRODUCT((GameListChampion&lt;&gt;"")*((GameListMin*60)+(GameListSec)))/(MAX(GameListDate) - MIN(GameListDate)), 0) - (ROUNDDOWN(ROUNDDOWN(SUMPRODUCT((GameListChampion&lt;&gt;"")*((GameListMin*60)+(GameListSec)))/(MAX(GameListDate) - MIN(GameListDate)), 0)/3600, 0)*3600))/60, 0),
 ":",
 ROUNDDOWN(SUMPRODUCT((GameListChampion&lt;&gt;"")*((GameListMin*60)+(GameListSec)))/(MAX(GameListDate) - MIN(GameListDate)), 0) - ROUNDDOWN((ROUNDDOWN(SUMPRODUCT((GameListChampion&lt;&gt;"")*((GameListMin*60)+(GameListSec)))/(MAX(GameListDate) - MIN(GameListDate)), 0) - (ROUNDDOWN(ROUNDDOWN(SUMPRODUCT((GameListChampion&lt;&gt;"")*((GameListMin*60)+(GameListSec)))/(MAX(GameListDate) - MIN(GameListDate)), 0)/3600, 0)*3600))/60, 0)*60 - ROUNDDOWN(ROUNDDOWN(SUMPRODUCT((GameListChampion&lt;&gt;"")*((GameListMin*60)+(GameListSec)))/(MAX(GameListDate) - MIN(GameListDate)), 0)/3600, 0)*3600
),"00:00:00")</f>
        <v>00:00:00</v>
      </c>
      <c r="J10" s="16"/>
      <c r="K10" s="61"/>
      <c r="L10" s="16"/>
      <c r="M10" s="66" t="str">
        <f t="shared" ca="1" si="0"/>
        <v/>
      </c>
      <c r="N10" s="16"/>
      <c r="O10" s="16"/>
      <c r="P10" s="16"/>
      <c r="Q10" s="16"/>
      <c r="R10" s="16"/>
      <c r="S10" s="9"/>
    </row>
    <row r="11" spans="1:19" x14ac:dyDescent="0.3">
      <c r="A11" s="26" t="s">
        <v>140</v>
      </c>
      <c r="B11" s="24">
        <f t="shared" ca="1" si="1"/>
        <v>0</v>
      </c>
      <c r="C11" s="2">
        <f t="shared" ca="1" si="2"/>
        <v>0</v>
      </c>
      <c r="D11" s="24">
        <f t="shared" ca="1" si="3"/>
        <v>0</v>
      </c>
      <c r="E11" s="59">
        <f t="shared" ref="E11:E12" ca="1" si="4">IFERROR(B11/D11,0)</f>
        <v>0</v>
      </c>
      <c r="G11" s="27" t="s">
        <v>269</v>
      </c>
      <c r="H11" s="16"/>
      <c r="I11" s="14" t="str">
        <f ca="1">IFERROR(CONCATENATE(
 ROUNDDOWN(SUMPRODUCT(((GameListMin)*60+GameListSec)*(GameListDate=TODAY()))/3600, 0),
 ":",
 ROUNDDOWN((SUMPRODUCT(((GameListMin)*60+GameListSec)*(GameListDate=TODAY())) - (ROUNDDOWN(SUMPRODUCT(((GameListMin)*60+GameListSec)*(GameListDate=TODAY()))/3600, 0)*3600))/60, 0),
 ":",
 SUMPRODUCT(((GameListMin)*60+GameListSec)*(GameListDate=TODAY())) - ROUNDDOWN((SUMPRODUCT(((GameListMin)*60+GameListSec)*(GameListDate=TODAY())) - (ROUNDDOWN(SUMPRODUCT(((GameListMin)*60+GameListSec)*(GameListDate=TODAY()))/3600, 0)*3600))/60, 0)*60 - ROUNDDOWN(SUMPRODUCT(((GameListMin)*60+GameListSec)*(GameListDate=TODAY()))/3600, 0)*3600
),"00:00:00")</f>
        <v>0:0:0</v>
      </c>
      <c r="J11" s="14"/>
      <c r="K11" s="61"/>
      <c r="L11" s="16"/>
      <c r="M11" s="16"/>
      <c r="N11" s="16"/>
      <c r="O11" s="16"/>
      <c r="P11" s="16"/>
      <c r="Q11" s="16"/>
      <c r="R11" s="16"/>
      <c r="S11" s="9"/>
    </row>
    <row r="12" spans="1:19" x14ac:dyDescent="0.3">
      <c r="A12" s="1" t="s">
        <v>175</v>
      </c>
      <c r="B12" s="24">
        <f t="shared" ca="1" si="1"/>
        <v>0</v>
      </c>
      <c r="C12" s="2">
        <f t="shared" ca="1" si="2"/>
        <v>0</v>
      </c>
      <c r="D12" s="24">
        <f t="shared" ca="1" si="3"/>
        <v>0</v>
      </c>
      <c r="E12" s="59">
        <f t="shared" ca="1" si="4"/>
        <v>0</v>
      </c>
      <c r="G12" s="27" t="s">
        <v>272</v>
      </c>
      <c r="H12" s="16"/>
      <c r="I12" s="14" t="str">
        <f ca="1">IFERROR(CONCATENATE(SUMPRODUCT((GameListDate=TODAY())*(GameListWinLoss=1)),"/",SUMPRODUCT((GameListDate=TODAY())*(GameListWinLoss=0))),"0/0")</f>
        <v>0/0</v>
      </c>
      <c r="J12" s="14"/>
      <c r="K12" s="61"/>
      <c r="L12" s="16"/>
      <c r="M12" s="16"/>
      <c r="N12" s="16"/>
      <c r="O12" s="16"/>
      <c r="P12" s="16"/>
      <c r="Q12" s="16"/>
      <c r="R12" s="16"/>
      <c r="S12" s="9"/>
    </row>
    <row r="13" spans="1:19" x14ac:dyDescent="0.3">
      <c r="A13" s="1" t="s">
        <v>280</v>
      </c>
      <c r="B13" s="24">
        <f t="shared" ca="1" si="1"/>
        <v>0</v>
      </c>
      <c r="C13" s="2">
        <f t="shared" ca="1" si="2"/>
        <v>0</v>
      </c>
      <c r="D13" s="24">
        <f t="shared" ca="1" si="3"/>
        <v>0</v>
      </c>
      <c r="E13" s="59">
        <f t="shared" ref="E13" ca="1" si="5">IFERROR(B13/D13,0)</f>
        <v>0</v>
      </c>
      <c r="G13" s="67"/>
      <c r="H13" s="29"/>
      <c r="I13" s="29"/>
      <c r="J13" s="29"/>
      <c r="K13" s="67"/>
      <c r="L13" s="29"/>
      <c r="M13" s="29"/>
      <c r="N13" s="29"/>
      <c r="O13" s="29"/>
      <c r="P13" s="29"/>
      <c r="Q13" s="29"/>
      <c r="R13" s="29"/>
      <c r="S13" s="30"/>
    </row>
    <row r="14" spans="1:19" x14ac:dyDescent="0.3">
      <c r="A14" s="1" t="s">
        <v>210</v>
      </c>
      <c r="B14" s="24">
        <f t="shared" ca="1" si="1"/>
        <v>0</v>
      </c>
      <c r="C14" s="2">
        <f t="shared" ca="1" si="2"/>
        <v>0</v>
      </c>
      <c r="D14" s="24">
        <f t="shared" ca="1" si="3"/>
        <v>0</v>
      </c>
      <c r="E14" s="59">
        <f ca="1">IFERROR(B14/D14,0)</f>
        <v>0</v>
      </c>
    </row>
    <row r="15" spans="1:19" x14ac:dyDescent="0.3">
      <c r="A15" s="1" t="s">
        <v>221</v>
      </c>
      <c r="B15" s="24">
        <f t="shared" ca="1" si="1"/>
        <v>0</v>
      </c>
      <c r="C15" s="2">
        <f t="shared" ca="1" si="2"/>
        <v>0</v>
      </c>
      <c r="D15" s="24">
        <f t="shared" ca="1" si="3"/>
        <v>0</v>
      </c>
      <c r="E15" s="60">
        <f ca="1">IFERROR(B15/D15,0)</f>
        <v>0</v>
      </c>
    </row>
    <row r="16" spans="1:19" x14ac:dyDescent="0.3">
      <c r="A16" s="54" t="s">
        <v>208</v>
      </c>
      <c r="B16" s="55">
        <f ca="1">SUM(B10:B15)</f>
        <v>0</v>
      </c>
      <c r="C16" s="56">
        <f ca="1">SUM(C10:C15)</f>
        <v>0</v>
      </c>
      <c r="D16" s="57">
        <f ca="1">B16+C16</f>
        <v>0</v>
      </c>
      <c r="E16" s="59">
        <f ca="1">IFERROR(B16/D16,0)</f>
        <v>0</v>
      </c>
    </row>
    <row r="17" spans="1:21" x14ac:dyDescent="0.3">
      <c r="G17" s="1"/>
      <c r="H17" s="27" t="s">
        <v>283</v>
      </c>
      <c r="I17" s="1"/>
      <c r="J17" s="1"/>
      <c r="K17" s="1"/>
      <c r="L17" s="1"/>
      <c r="M17" s="1"/>
      <c r="N17" s="27" t="s">
        <v>225</v>
      </c>
      <c r="O17" s="64" t="s">
        <v>226</v>
      </c>
      <c r="P17" s="1"/>
      <c r="R17" s="1"/>
      <c r="S17" s="1"/>
      <c r="T17" s="27" t="s">
        <v>218</v>
      </c>
      <c r="U17" s="1"/>
    </row>
    <row r="18" spans="1:21" x14ac:dyDescent="0.3">
      <c r="A18" s="22" t="s">
        <v>227</v>
      </c>
      <c r="B18" s="30"/>
      <c r="C18" s="29" t="s">
        <v>230</v>
      </c>
      <c r="D18" s="52"/>
      <c r="E18" s="52"/>
      <c r="G18" s="10"/>
      <c r="H18" s="10" t="s">
        <v>144</v>
      </c>
      <c r="I18" s="12" t="s">
        <v>190</v>
      </c>
      <c r="J18" s="10" t="s">
        <v>132</v>
      </c>
      <c r="K18" s="10" t="s">
        <v>185</v>
      </c>
      <c r="L18" s="10" t="s">
        <v>139</v>
      </c>
      <c r="M18" s="10" t="s">
        <v>140</v>
      </c>
      <c r="N18" s="10" t="s">
        <v>133</v>
      </c>
      <c r="O18" s="10" t="s">
        <v>141</v>
      </c>
      <c r="P18" s="11" t="s">
        <v>153</v>
      </c>
      <c r="Q18" s="12" t="s">
        <v>256</v>
      </c>
      <c r="R18" s="12" t="s">
        <v>158</v>
      </c>
      <c r="S18" s="11" t="s">
        <v>161</v>
      </c>
      <c r="T18" s="11" t="s">
        <v>219</v>
      </c>
      <c r="U18" s="11" t="s">
        <v>220</v>
      </c>
    </row>
    <row r="19" spans="1:21" x14ac:dyDescent="0.3">
      <c r="A19" s="28" t="s">
        <v>136</v>
      </c>
      <c r="B19" s="9"/>
      <c r="C19" s="16">
        <f ca="1">SUMPRODUCT(GameListKills)</f>
        <v>0</v>
      </c>
      <c r="D19" s="16">
        <f ca="1">SUMPRODUCT(GameListKills*(GameListChampion=D18))</f>
        <v>0</v>
      </c>
      <c r="E19" s="16">
        <f ca="1">SUMPRODUCT(GameListKills*(GameListChampion=E18))</f>
        <v>0</v>
      </c>
      <c r="G19" s="9" t="s">
        <v>145</v>
      </c>
      <c r="H19" s="9">
        <f ca="1">IFERROR(
 SUMPRODUCT((GameListChampion&lt;&gt;"")*((GameListMode="Normal")+(GameListMode="Ranked"))*1),0
)</f>
        <v>0</v>
      </c>
      <c r="I19" s="13" t="e">
        <f t="shared" ref="I19:I24" ca="1" si="6">H19/$H$19</f>
        <v>#DIV/0!</v>
      </c>
      <c r="J19" s="8">
        <f ca="1">IFERROR(
 SUMPRODUCT((GameListChampion&lt;&gt;"")*((GameListMode="Normal")+(GameListMode="Ranked"))*GameListWinLoss)/$H19,0
)</f>
        <v>0</v>
      </c>
      <c r="K19" s="7">
        <f ca="1">IFERROR(
 SUMPRODUCT((GameListChampionLastGames&lt;&gt;"")*((GameListModeLastGames="Normal")+(GameListModeLastGames="Ranked"))*GameListWinLossLastGames)/SUMPRODUCT((GameListChampionLastGames&lt;&gt;"")*1),0
)</f>
        <v>0</v>
      </c>
      <c r="L19" s="8">
        <f t="array" aca="1" ref="L19" ca="1">IFERROR(
 SUMPRODUCT((GameListChampion&lt;&gt;"")*(GameListMode="Ranked")*GameListWinLoss)
 /
 SUMPRODUCT((GameListChampion&lt;&gt;"")*(GameListMode="Ranked")),0
)</f>
        <v>0</v>
      </c>
      <c r="M19" s="8">
        <f t="array" aca="1" ref="M19" ca="1">IFERROR(
 SUMPRODUCT((GameListChampion&lt;&gt;"")*(GameListMode="Normal")*GameListWinLoss)
 /
 SUMPRODUCT((GameListChampion&lt;&gt;"")*(GameListMode="Normal")),0
)</f>
        <v>0</v>
      </c>
      <c r="N19" s="6" t="str">
        <f ca="1">IFERROR(
 CONCATENATE(
  ROUND(
   SUMPRODUCT(
    (GameListChampion&lt;&gt;"")*((GameListMode="Normal")+(GameListMode="Ranked"))*((GameListKills+GameListAssists)
    /
    IF(
     SUMPRODUCT(
      (GameListChampion&lt;&gt;"")*((GameListMode="Normal")+(GameListMode="Ranked"))*GameListDeaths
      )=0,1,SUMPRODUCT(
      (GameListChampion&lt;&gt;"")*((GameListMode="Normal")+(GameListMode="Ranked"))*GameListDeaths)
     )
    )
   ),2
  )," (",
  ROUND(
   SUMPRODUCT(
    (GameListChampionLastGames&lt;&gt;"")*((GameListModeLastGames="Normal")+(GameListModeLastGames="Ranked"))*((GameListKillsLastGames+GameListAssistsLastGames)
    /
    IF(
     SUMPRODUCT(
      (GameListChampionLastGames&lt;&gt;"")*((GameListModeLastGames="Normal")+(GameListModeLastGames="Ranked"))*GameListDeathsLastGames
      )=0,1,SUMPRODUCT(
      (GameListChampionLastGames&lt;&gt;"")*((GameListModeLastGames="Normal")+(GameListModeLastGames="Ranked"))*GameListDeathsLastGames)
     )
    )
   ),2
  ),")"
 ),"0 (0)"
)</f>
        <v>0 (0)</v>
      </c>
      <c r="O19" s="5" t="str">
        <f ca="1">IFERROR(
 CONCATENATE(
  ROUND(
   SUMPRODUCT(
    (GameListChampion&lt;&gt;"")*((GameListMode="Normal")+(GameListMode="Ranked"))*(GameListCS)
   )/H19,0
  )," (",ROUND(
   SUMPRODUCT(
    (GameListChampionLastGames&lt;&gt;"")*((GameListModeLastGames="Normal")+(GameListModeLastGames="Ranked"))*(GameListCSLastGames)
   )/SUMPRODUCT((GameListChampionLastGames&lt;&gt;"")*1),0
  ),")"
 ),"0 (0)"
)</f>
        <v>0 (0)</v>
      </c>
      <c r="P19" s="19" t="str">
        <f ca="1">IFERROR(
 CONCATENATE(
  ROUND(
   SUMPRODUCT(
    (GameListChampion&lt;&gt;"")*((GameListMode="Normal")+(GameListMode="Ranked"))*(GameListCS)
   )
   /
   SUMPRODUCT(
    (GameListChampion&lt;&gt;"")*((GameListMode="Normal")+(GameListMode="Ranked"))*(GameListMin + (GameListSec / 60))
   ),2
  )," (",
  ROUND(
   SUMPRODUCT(
    (GameListChampionLastGames&lt;&gt;"")*((GameListModeLastGames="Normal")+(GameListModeLastGames="Ranked"))*(GameListCSLastGames)
   )
   /
   SUMPRODUCT(
    (GameListChampionLastGames&lt;&gt;"")*((GameListModeLastGames="Normal")+(GameListModeLastGames="Ranked"))*(GameListMinLastGames + (GameListSecLastGames / 60))
   ),2
  ),")"
 ),"0 (0)"
)</f>
        <v>0 (0)</v>
      </c>
      <c r="Q19" s="63" t="str">
        <f ca="1">IFERROR(
 CONCATENATE(
  ROUND(
   SUMPRODUCT(
    (GameListChampion&lt;&gt;"")*(GameListDamageChampions&lt;&gt;"")*((GameListMode="Normal")+(GameListMode="Ranked"))*(GameListDamageChampions)
   )
   /
   SUMPRODUCT(
    (GameListChampion&lt;&gt;"")*(GameListDamageChampions&lt;&gt;"")*((GameListMode="Normal")+(GameListMode="Ranked"))*(GameListMin + (GameListSec / 60))
   ),0
  )," (",
  ROUND(
   SUMPRODUCT(
    (GameListChampionLastGames&lt;&gt;"")*(GameListDamageChampionsLastGames&lt;&gt;"")*((GameListModeLastGames="Normal")+(GameListModeLastGames="Ranked"))*(GameListDamageChampionsLastGames)
   )
   /
   SUMPRODUCT(
    (GameListChampionLastGames&lt;&gt;"")*(GameListDamageChampionsLastGames&lt;&gt;"")*((GameListModeLastGames="Normal")+(GameListModeLastGames="Ranked"))*(GameListMinLastGames + (GameListSecLastGames / 60))
   ),0
  ),")"
 ),"0 (0)"
)</f>
        <v>0 (0)</v>
      </c>
      <c r="R19" s="62" t="str">
        <f ca="1">IFERROR(
 CONCATENATE(
  ROUND(
   SUMPRODUCT(
    (GameListChampion&lt;&gt;"")*((GameListMode="Normal")+(GameListMode="Ranked"))*(GameListGold)
   )
   /
   SUMPRODUCT(
    (GameListChampion&lt;&gt;"")*((GameListMode="Normal")+(GameListMode="Ranked"))*(GameListMin + (GameListSec / 60))
   ),0
  )," (",ROUND(
   SUMPRODUCT(
    (GameListChampionLastGames&lt;&gt;"")*((GameListModeLastGames="Normal")+(GameListModeLastGames="Ranked"))*(GameListGoldLastGames)
   )
   /
   SUMPRODUCT(
    (GameListChampionLastGames&lt;&gt;"")*((GameListModeLastGames="Normal")+(GameListModeLastGames="Ranked"))*(GameListMinLastGames + (GameListSecLastGames / 60))
   ),0
  ),")"
 ),"0 (0)"
)</f>
        <v>0 (0)</v>
      </c>
      <c r="S19" s="14" t="str">
        <f ca="1">IFERROR(
 CONCATENATE(
  ROUNDDOWN(
   SUMPRODUCT((GameListChampion&lt;&gt;"")*((GameListMode="Normal")+(GameListMode="Ranked"))*GameListMin+(GameListSec/60))/H19,0
  ),":",ROUNDDOWN(
   (SUMPRODUCT((GameListChampion&lt;&gt;"")*((GameListMode="Normal")+(GameListMode="Ranked"))*GameListMin+(GameListSec/60))/H19
    -
   ROUNDDOWN(
    SUMPRODUCT((GameListChampion&lt;&gt;"")*((GameListMode="Normal")+(GameListMode="Ranked"))*GameListMin+(GameListSec/60))/H19,0
   ))*60,0
  )
 ),"00:00"
)</f>
        <v>00:00</v>
      </c>
      <c r="T19" s="23">
        <f ca="1">IFERROR(SUMPRODUCT((GameListChampion&lt;&gt;"")*((GameListMode="Normal")+(GameListMode="Ranked"))*GameListWardsPlaced)/SUMPRODUCT((GameListChampion&lt;&gt;"")*(GameListWardsPlaced&gt;0)*((GameListMode="Normal")+(GameListMode="Ranked"))*1),0)</f>
        <v>0</v>
      </c>
      <c r="U19" s="23">
        <f ca="1">IFERROR(SUMPRODUCT((GameListChampion&lt;&gt;"")*((GameListMode="Normal")+(GameListMode="Ranked"))*GameListWardsKilled)/SUMPRODUCT((GameListChampion&lt;&gt;"")*((GameListMode="Normal")+(GameListMode="Ranked"))*(GameListWardsKilled&lt;&gt;"")*1),0)</f>
        <v>0</v>
      </c>
    </row>
    <row r="20" spans="1:21" x14ac:dyDescent="0.3">
      <c r="A20" s="28" t="s">
        <v>137</v>
      </c>
      <c r="B20" s="9"/>
      <c r="C20" s="16">
        <f ca="1">SUMPRODUCT(GameListDeaths)</f>
        <v>0</v>
      </c>
      <c r="D20" s="16">
        <f ca="1">SUMPRODUCT(GameListDeaths*(GameListChampion=D18))</f>
        <v>0</v>
      </c>
      <c r="E20" s="16">
        <f ca="1">SUMPRODUCT(GameListDeaths*(GameListChampion=E18))</f>
        <v>0</v>
      </c>
      <c r="G20" s="53"/>
      <c r="H20" s="9">
        <f ca="1">IFERROR(
 SUMPRODUCT(($G20&lt;&gt;"")*(GameListChampion=$G20)*((GameListMode="Normal")+(GameListMode="Ranked"))),0
)</f>
        <v>0</v>
      </c>
      <c r="I20" s="13" t="e">
        <f t="shared" ca="1" si="6"/>
        <v>#DIV/0!</v>
      </c>
      <c r="J20" s="8">
        <f ca="1">IFERROR(
 SUMPRODUCT((GameListChampion=$G20)*GameListWinLoss*((GameListMode="Normal")+(GameListMode="Ranked")))/$H20,0
)</f>
        <v>0</v>
      </c>
      <c r="K20" s="8">
        <f ca="1">IFERROR(
 SUMPRODUCT((GameListChampionLastGames=$G20)*GameListWinLossLastGames*((GameListModeLastGames="Normal")+(GameListModeLastGames="Ranked")))/SUMPRODUCT((GameListChampionLastGames=$G20)*((GameListModeLastGames="Normal")+(GameListModeLastGames="Ranked"))*1),0
)</f>
        <v>0</v>
      </c>
      <c r="L20" s="8">
        <f t="array" aca="1" ref="L20" ca="1">IFERROR(
 SUMPRODUCT((GameListChampion=$G20)*(GameListMode="Ranked")*GameListWinLoss)
 /
 SUMPRODUCT((GameListChampion=$G20)*(GameListMode="Ranked")),0
)</f>
        <v>0</v>
      </c>
      <c r="M20" s="8">
        <f t="array" aca="1" ref="M20" ca="1">IFERROR(
 SUMPRODUCT((GameListChampion=$G20)*(GameListMode="Normal")*GameListWinLoss)
 /
 SUMPRODUCT((GameListChampion=$G20)*(GameListMode="Normal")),0
)</f>
        <v>0</v>
      </c>
      <c r="N20" s="6" t="str">
        <f ca="1">IFERROR(
 CONCATENATE(
  ROUND(
   SUMPRODUCT(
    (GameListChampion=$G20)*((GameListMode="Normal")+(GameListMode="Ranked"))*((GameListKills+GameListAssists)
    /
    IF(
     SUMPRODUCT(
      (GameListChampion=$G20)*((GameListMode="Normal")+(GameListMode="Ranked"))*GameListDeaths
      )=0,1,SUMPRODUCT(
      (GameListChampion=$G20)*((GameListMode="Normal")+(GameListMode="Ranked"))*GameListDeaths)
     )
    )
   ),2
  )," (",
  ROUND(
   SUMPRODUCT(
    (GameListChampionLastGames=$G20)*((GameListModeLastGames="Normal")+(GameListModeLastGames="Ranked"))*((GameListKillsLastGames+GameListAssistsLastGames)
    /
    IF(
     SUMPRODUCT(
      (GameListChampionLastGames=$G20)*((GameListModeLastGames="Normal")+(GameListModeLastGames="Ranked"))*GameListDeathsLastGames
      )=0,1,SUMPRODUCT(
      (GameListChampionLastGames=$G20)*((GameListModeLastGames="Normal")+(GameListModeLastGames="Ranked"))*GameListDeathsLastGames)
     )
    )
   ),2
  ),")"
 ),"0 (0)"
)</f>
        <v>0 (0)</v>
      </c>
      <c r="O20" s="5" t="str">
        <f ca="1">IFERROR(CONCATENATE(
  ROUND(
   SUMPRODUCT(
    (GameListChampion=$G20)*((GameListMode="Normal")+(GameListMode="Ranked"))*(GameListCS)
   )/H20,0
  )," (",ROUND(
   SUMPRODUCT(
    (GameListChampionLastGames=$G20)*((GameListModeLastGames="Normal")+(GameListModeLastGames="Ranked"))*(GameListCSLastGames)
   )/MAX(SUMPRODUCT((GameListChampionLastGames=$G20)*1),1),0
  ),")"
 ),"0 (0)")</f>
        <v>0 (0)</v>
      </c>
      <c r="P20" s="19" t="str">
        <f ca="1">IFERROR(
 CONCATENATE(
  ROUND(
   SUMPRODUCT(
    (GameListChampion=$G20)*((GameListMode="Normal")+(GameListMode="Ranked"))*(GameListCS)
   )
   /
   SUMPRODUCT(
    (GameListChampion=$G20)*((GameListMode="Normal")+(GameListMode="Ranked"))*(GameListMin + (GameListSec / 60))
   ),2
  )," (",
  ROUND(
   SUMPRODUCT(
    (GameListChampionLastGames=$G20)*((GameListModeLastGames="Normal")+(GameListModeLastGames="Ranked"))*(GameListCSLastGames)
   )
   /MAX(
   SUMPRODUCT(
    (GameListChampionLastGames=$G20)*((GameListModeLastGames="Normal")+(GameListModeLastGames="Ranked"))*(GameListMinLastGames + (GameListSecLastGames / 60))
   ),1
  ),2),")"
 ),"0 (0)"
)</f>
        <v>0 (0)</v>
      </c>
      <c r="Q20" s="63" t="str">
        <f ca="1">IFERROR(
 CONCATENATE(
  ROUND(
   SUMPRODUCT(
    (GameListChampion=$G20)*(GameListDamageChampions&lt;&gt;"")*((GameListMode="Normal")+(GameListMode="Ranked"))*(GameListDamageChampions)
   )
   /
   SUMPRODUCT(
    (GameListChampion=$G20)*(GameListDamageChampions&lt;&gt;"")*((GameListMode="Normal")+(GameListMode="Ranked"))*(GameListMin + (GameListSec / 60))
   ),0
  )," (",
  ROUND(
   SUMPRODUCT(
    (GameListChampionLastGames=$G20)*(GameListDamageChampionsLastGames&lt;&gt;"")*((GameListModeLastGames="Normal")+(GameListModeLastGames="Ranked"))*(GameListDamageChampionsLastGames)
   )
   /MAX(
   SUMPRODUCT(
    (GameListChampionLastGames=$G20)*(GameListDamageChampionsLastGames&lt;&gt;"")*((GameListModeLastGames="Normal")+(GameListModeLastGames="Ranked"))*(GameListMinLastGames + (GameListSecLastGames / 60))
   ),1
  ),0),")"
 ),"0 (0)"
)</f>
        <v>0 (0)</v>
      </c>
      <c r="R20" s="62" t="str">
        <f ca="1">IFERROR(
 CONCATENATE(
  ROUND(
   SUMPRODUCT(
    (GameListChampion=$G20)*((GameListMode="Normal")+(GameListMode="Ranked"))*(GameListGold)
   )
   /
   SUMPRODUCT(
    (GameListChampion=$G20)*((GameListMode="Normal")+(GameListMode="Ranked"))*(GameListMin + (GameListSec / 60))
   ),0
  )," (",ROUND(
   SUMPRODUCT(
    (GameListChampionLastGames=$G20)*((GameListModeLastGames="Normal")+(GameListModeLastGames="Ranked"))*(GameListGoldLastGames)
   )
   /
   MAX(SUMPRODUCT(
    (GameListChampionLastGames=$G20)*((GameListModeLastGames="Normal")+(GameListModeLastGames="Ranked"))*(GameListMinLastGames + (GameListSecLastGames / 60))
   ),1),0
  ),")"
 ),"0 (0)"
)</f>
        <v>0 (0)</v>
      </c>
      <c r="S20" s="15" t="str">
        <f ca="1">IFERROR(
CONCATENATE(
ROUNDDOWN(
SUMPRODUCT((GameListChampion=$G20)*((GameListMode="Normal")+(GameListMode="Ranked"))*(GameListMin+(GameListSec/60)))/H20,0
),":",ROUNDDOWN(
(SUMPRODUCT((GameListChampion=$G20)*((GameListMode="Normal")+(GameListMode="Ranked"))*(GameListMin+(GameListSec/60)))/H20
-
ROUNDDOWN(
SUMPRODUCT((GameListChampion=$G20)*((GameListMode="Normal")+(GameListMode="Ranked"))*(GameListMin+(GameListSec/60)))/H20,0
))*60,0
)
),"00:00"
)</f>
        <v>00:00</v>
      </c>
      <c r="T20" s="23">
        <f ca="1">IFERROR(SUMPRODUCT((GameListChampion=G20)*((GameListMode="Normal")+(GameListMode="Ranked"))*GameListWardsPlaced)/SUMPRODUCT((GameListChampion=G20)*(GameListWardsPlaced&gt;0)*((GameListMode="Normal")+(GameListMode="Ranked"))*1),0)</f>
        <v>0</v>
      </c>
      <c r="U20" s="23">
        <f ca="1">IFERROR(SUMPRODUCT((GameListChampion=G20)*((GameListMode="Normal")+(GameListMode="Ranked"))*GameListWardsKilled)/SUMPRODUCT((GameListChampion=G20)*((GameListMode="Normal")+(GameListMode="Ranked"))*(GameListWardsKilled&lt;&gt;"")*1),0)</f>
        <v>0</v>
      </c>
    </row>
    <row r="21" spans="1:21" x14ac:dyDescent="0.3">
      <c r="A21" s="28" t="s">
        <v>138</v>
      </c>
      <c r="B21" s="9"/>
      <c r="C21" s="16">
        <f ca="1">SUMPRODUCT(GameListAssists)</f>
        <v>0</v>
      </c>
      <c r="D21" s="16">
        <f ca="1">SUMPRODUCT(GameListAssists*(GameListChampion=D18))</f>
        <v>0</v>
      </c>
      <c r="E21" s="16">
        <f ca="1">SUMPRODUCT(GameListAssists*(GameListChampion=E18))</f>
        <v>0</v>
      </c>
      <c r="G21" s="53"/>
      <c r="H21" s="9">
        <f ca="1">IFERROR(
 SUMPRODUCT(($G21&lt;&gt;"")*(GameListChampion=$G21)*((GameListMode="Normal")+(GameListMode="Ranked"))),0
)</f>
        <v>0</v>
      </c>
      <c r="I21" s="13" t="e">
        <f t="shared" ca="1" si="6"/>
        <v>#DIV/0!</v>
      </c>
      <c r="J21" s="8">
        <f ca="1">IFERROR(
 SUMPRODUCT((GameListChampion=$G21)*GameListWinLoss*((GameListMode="Normal")+(GameListMode="Ranked")))/$H21,0
)</f>
        <v>0</v>
      </c>
      <c r="K21" s="8">
        <f ca="1">IFERROR(
 SUMPRODUCT((GameListChampionLastGames=$G21)*GameListWinLossLastGames*((GameListModeLastGames="Normal")+(GameListModeLastGames="Ranked")))/SUMPRODUCT((GameListChampionLastGames=$G21)*((GameListModeLastGames="Normal")+(GameListModeLastGames="Ranked"))*1),0
)</f>
        <v>0</v>
      </c>
      <c r="L21" s="8">
        <f t="array" aca="1" ref="L21" ca="1">IFERROR(
 SUMPRODUCT((GameListChampion=$G21)*(GameListMode="Ranked")*GameListWinLoss)
 /
 SUMPRODUCT((GameListChampion=$G21)*(GameListMode="Ranked")),0
)</f>
        <v>0</v>
      </c>
      <c r="M21" s="8">
        <f t="array" aca="1" ref="M21" ca="1">IFERROR(
 SUMPRODUCT((GameListChampion=$G21)*(GameListMode="Normal")*GameListWinLoss)
 /
 SUMPRODUCT((GameListChampion=$G21)*(GameListMode="Normal")),0
)</f>
        <v>0</v>
      </c>
      <c r="N21" s="6" t="str">
        <f ca="1">IFERROR(
 CONCATENATE(
  ROUND(
   SUMPRODUCT(
    (GameListChampion=$G21)*((GameListMode="Normal")+(GameListMode="Ranked"))*((GameListKills+GameListAssists)
    /
    IF(
     SUMPRODUCT(
      (GameListChampion=$G21)*((GameListMode="Normal")+(GameListMode="Ranked"))*GameListDeaths
      )=0,1,SUMPRODUCT(
      (GameListChampion=$G21)*((GameListMode="Normal")+(GameListMode="Ranked"))*GameListDeaths)
     )
    )
   ),2
  )," (",
  ROUND(
   SUMPRODUCT(
    (GameListChampionLastGames=$G21)*((GameListModeLastGames="Normal")+(GameListModeLastGames="Ranked"))*((GameListKillsLastGames+GameListAssistsLastGames)
    /
    IF(
     SUMPRODUCT(
      (GameListChampionLastGames=$G21)*((GameListModeLastGames="Normal")+(GameListModeLastGames="Ranked"))*GameListDeathsLastGames
      )=0,1,SUMPRODUCT(
      (GameListChampionLastGames=$G21)*((GameListModeLastGames="Normal")+(GameListModeLastGames="Ranked"))*GameListDeathsLastGames)
     )
    )
   ),2
  ),")"
 ),"0 (0)"
)</f>
        <v>0 (0)</v>
      </c>
      <c r="O21" s="5" t="str">
        <f ca="1">IFERROR(CONCATENATE(
  ROUND(
   SUMPRODUCT(
    (GameListChampion=$G21)*((GameListMode="Normal")+(GameListMode="Ranked"))*(GameListCS)
   )/H21,0
  )," (",ROUND(
   SUMPRODUCT(
    (GameListChampionLastGames=$G21)*((GameListModeLastGames="Normal")+(GameListModeLastGames="Ranked"))*(GameListCSLastGames)
   )/MAX(SUMPRODUCT((GameListChampionLastGames=$G21)*1),1),0
  ),")"
 ),"0 (0)")</f>
        <v>0 (0)</v>
      </c>
      <c r="P21" s="19" t="str">
        <f ca="1">IFERROR(
 CONCATENATE(
  ROUND(
   SUMPRODUCT(
    (GameListChampion=$G21)*((GameListMode="Normal")+(GameListMode="Ranked"))*(GameListCS)
   )
   /
   SUMPRODUCT(
    (GameListChampion=$G21)*((GameListMode="Normal")+(GameListMode="Ranked"))*(GameListMin + (GameListSec / 60))
   ),2
  )," (",
  ROUND(
   SUMPRODUCT(
    (GameListChampionLastGames=$G21)*((GameListModeLastGames="Normal")+(GameListModeLastGames="Ranked"))*(GameListCSLastGames)
   )
   /MAX(
   SUMPRODUCT(
    (GameListChampionLastGames=$G21)*((GameListModeLastGames="Normal")+(GameListModeLastGames="Ranked"))*(GameListMinLastGames + (GameListSecLastGames / 60))
   ),1
  ),2),")"
 ),"0 (0)"
)</f>
        <v>0 (0)</v>
      </c>
      <c r="Q21" s="63" t="str">
        <f ca="1">IFERROR(
 CONCATENATE(
  ROUND(
   SUMPRODUCT(
    (GameListChampion=$G21)*(GameListDamageChampions&lt;&gt;"")*((GameListMode="Normal")+(GameListMode="Ranked"))*(GameListDamageChampions)
   )
   /
   SUMPRODUCT(
    (GameListChampion=$G21)*(GameListDamageChampions&lt;&gt;"")*((GameListMode="Normal")+(GameListMode="Ranked"))*(GameListMin + (GameListSec / 60))
   ),0
  )," (",
  ROUND(
   SUMPRODUCT(
    (GameListChampionLastGames=$G21)*(GameListDamageChampionsLastGames&lt;&gt;"")*((GameListModeLastGames="Normal")+(GameListModeLastGames="Ranked"))*(GameListDamageChampionsLastGames)
   )
   /MAX(
   SUMPRODUCT(
    (GameListChampionLastGames=$G21)*(GameListDamageChampionsLastGames&lt;&gt;"")*((GameListModeLastGames="Normal")+(GameListModeLastGames="Ranked"))*(GameListMinLastGames + (GameListSecLastGames / 60))
   ),1
  ),0),")"
 ),"0 (0)"
)</f>
        <v>0 (0)</v>
      </c>
      <c r="R21" s="62" t="str">
        <f ca="1">IFERROR(
 CONCATENATE(
  ROUND(
   SUMPRODUCT(
    (GameListChampion=$G21)*((GameListMode="Normal")+(GameListMode="Ranked"))*(GameListGold)
   )
   /
   SUMPRODUCT(
    (GameListChampion=$G21)*((GameListMode="Normal")+(GameListMode="Ranked"))*(GameListMin + (GameListSec / 60))
   ),0
  )," (",ROUND(
   SUMPRODUCT(
    (GameListChampionLastGames=$G21)*((GameListModeLastGames="Normal")+(GameListModeLastGames="Ranked"))*(GameListGoldLastGames)
   )
   /
   MAX(SUMPRODUCT(
    (GameListChampionLastGames=$G21)*((GameListModeLastGames="Normal")+(GameListModeLastGames="Ranked"))*(GameListMinLastGames + (GameListSecLastGames / 60))
   ),1),0
  ),")"
 ),"0 (0)"
)</f>
        <v>0 (0)</v>
      </c>
      <c r="S21" s="15" t="str">
        <f ca="1">IFERROR(
CONCATENATE(
ROUNDDOWN(
SUMPRODUCT((GameListChampion=$G21)*((GameListMode="Normal")+(GameListMode="Ranked"))*(GameListMin+(GameListSec/60)))/H21,0
),":",ROUNDDOWN(
(SUMPRODUCT((GameListChampion=$G21)*((GameListMode="Normal")+(GameListMode="Ranked"))*(GameListMin+(GameListSec/60)))/H21
-
ROUNDDOWN(
SUMPRODUCT((GameListChampion=$G21)*((GameListMode="Normal")+(GameListMode="Ranked"))*(GameListMin+(GameListSec/60)))/H21,0
))*60,0
)
),"00:00"
)</f>
        <v>00:00</v>
      </c>
      <c r="T21" s="23">
        <f ca="1">IFERROR(SUMPRODUCT((GameListChampion=G21)*((GameListMode="Normal")+(GameListMode="Ranked"))*GameListWardsPlaced)/SUMPRODUCT((GameListChampion=G21)*(GameListWardsPlaced&gt;0)*((GameListMode="Normal")+(GameListMode="Ranked"))*1),0)</f>
        <v>0</v>
      </c>
      <c r="U21" s="23">
        <f ca="1">IFERROR(SUMPRODUCT((GameListChampion=G21)*((GameListMode="Normal")+(GameListMode="Ranked"))*GameListWardsKilled)/SUMPRODUCT((GameListChampion=G21)*((GameListMode="Normal")+(GameListMode="Ranked"))*(GameListWardsKilled&lt;&gt;"")*1),0)</f>
        <v>0</v>
      </c>
    </row>
    <row r="22" spans="1:21" x14ac:dyDescent="0.3">
      <c r="A22" s="28" t="s">
        <v>228</v>
      </c>
      <c r="B22" s="9"/>
      <c r="C22" s="16">
        <f ca="1">SUMPRODUCT(GameListWardsPlaced)</f>
        <v>0</v>
      </c>
      <c r="D22" s="16">
        <f ca="1">SUMPRODUCT(GameListWardsPlaced*(GameListChampion=D18))</f>
        <v>0</v>
      </c>
      <c r="E22" s="16">
        <f ca="1">SUMPRODUCT(GameListWardsPlaced*(GameListChampion=E18))</f>
        <v>0</v>
      </c>
      <c r="G22" s="53"/>
      <c r="H22" s="9">
        <f ca="1">IFERROR(
 SUMPRODUCT(($G22&lt;&gt;"")*(GameListChampion=$G22)*((GameListMode="Normal")+(GameListMode="Ranked"))),0
)</f>
        <v>0</v>
      </c>
      <c r="I22" s="13" t="e">
        <f t="shared" ca="1" si="6"/>
        <v>#DIV/0!</v>
      </c>
      <c r="J22" s="8">
        <f ca="1">IFERROR(
 SUMPRODUCT((GameListChampion=$G22)*GameListWinLoss*((GameListMode="Normal")+(GameListMode="Ranked")))/$H22,0
)</f>
        <v>0</v>
      </c>
      <c r="K22" s="8">
        <f ca="1">IFERROR(
 SUMPRODUCT((GameListChampionLastGames=$G22)*GameListWinLossLastGames*((GameListModeLastGames="Normal")+(GameListModeLastGames="Ranked")))/SUMPRODUCT((GameListChampionLastGames=$G22)*((GameListModeLastGames="Normal")+(GameListModeLastGames="Ranked"))*1),0
)</f>
        <v>0</v>
      </c>
      <c r="L22" s="8">
        <f t="array" aca="1" ref="L22" ca="1">IFERROR(
 SUMPRODUCT((GameListChampion=$G22)*(GameListMode="Ranked")*GameListWinLoss)
 /
 SUMPRODUCT((GameListChampion=$G22)*(GameListMode="Ranked")),0
)</f>
        <v>0</v>
      </c>
      <c r="M22" s="8">
        <f t="array" aca="1" ref="M22" ca="1">IFERROR(
 SUMPRODUCT((GameListChampion=$G22)*(GameListMode="Normal")*GameListWinLoss)
 /
 SUMPRODUCT((GameListChampion=$G22)*(GameListMode="Normal")),0
)</f>
        <v>0</v>
      </c>
      <c r="N22" s="6" t="str">
        <f ca="1">IFERROR(
 CONCATENATE(
  ROUND(
   SUMPRODUCT(
    (GameListChampion=$G22)*((GameListMode="Normal")+(GameListMode="Ranked"))*((GameListKills+GameListAssists)
    /
    IF(
     SUMPRODUCT(
      (GameListChampion=$G22)*((GameListMode="Normal")+(GameListMode="Ranked"))*GameListDeaths
      )=0,1,SUMPRODUCT(
      (GameListChampion=$G22)*((GameListMode="Normal")+(GameListMode="Ranked"))*GameListDeaths)
     )
    )
   ),2
  )," (",
  ROUND(
   SUMPRODUCT(
    (GameListChampionLastGames=$G22)*((GameListModeLastGames="Normal")+(GameListModeLastGames="Ranked"))*((GameListKillsLastGames+GameListAssistsLastGames)
    /
    IF(
     SUMPRODUCT(
      (GameListChampionLastGames=$G22)*((GameListModeLastGames="Normal")+(GameListModeLastGames="Ranked"))*GameListDeathsLastGames
      )=0,1,SUMPRODUCT(
      (GameListChampionLastGames=$G22)*((GameListModeLastGames="Normal")+(GameListModeLastGames="Ranked"))*GameListDeathsLastGames)
     )
    )
   ),2
  ),")"
 ),"0 (0)"
)</f>
        <v>0 (0)</v>
      </c>
      <c r="O22" s="5" t="str">
        <f ca="1">IFERROR(CONCATENATE(
  ROUND(
   SUMPRODUCT(
    (GameListChampion=$G22)*((GameListMode="Normal")+(GameListMode="Ranked"))*(GameListCS)
   )/H22,0
  )," (",ROUND(
   SUMPRODUCT(
    (GameListChampionLastGames=$G22)*((GameListModeLastGames="Normal")+(GameListModeLastGames="Ranked"))*(GameListCSLastGames)
   )/MAX(SUMPRODUCT((GameListChampionLastGames=$G22)*1),1),0
  ),")"
 ),"0 (0)")</f>
        <v>0 (0)</v>
      </c>
      <c r="P22" s="19" t="str">
        <f ca="1">IFERROR(
 CONCATENATE(
  ROUND(
   SUMPRODUCT(
    (GameListChampion=$G22)*((GameListMode="Normal")+(GameListMode="Ranked"))*(GameListCS)
   )
   /
   SUMPRODUCT(
    (GameListChampion=$G22)*((GameListMode="Normal")+(GameListMode="Ranked"))*(GameListMin + (GameListSec / 60))
   ),2
  )," (",
  ROUND(
   SUMPRODUCT(
    (GameListChampionLastGames=$G22)*((GameListModeLastGames="Normal")+(GameListModeLastGames="Ranked"))*(GameListCSLastGames)
   )
   /MAX(
   SUMPRODUCT(
    (GameListChampionLastGames=$G22)*((GameListModeLastGames="Normal")+(GameListModeLastGames="Ranked"))*(GameListMinLastGames + (GameListSecLastGames / 60))
   ),1
  ),2),")"
 ),"0 (0)"
)</f>
        <v>0 (0)</v>
      </c>
      <c r="Q22" s="63" t="str">
        <f ca="1">IFERROR(
 CONCATENATE(
  ROUND(
   SUMPRODUCT(
    (GameListChampion=$G22)*(GameListDamageChampions&lt;&gt;"")*((GameListMode="Normal")+(GameListMode="Ranked"))*(GameListDamageChampions)
   )
   /
   SUMPRODUCT(
    (GameListChampion=$G22)*(GameListDamageChampions&lt;&gt;"")*((GameListMode="Normal")+(GameListMode="Ranked"))*(GameListMin + (GameListSec / 60))
   ),0
  )," (",
  ROUND(
   SUMPRODUCT(
    (GameListChampionLastGames=$G22)*(GameListDamageChampionsLastGames&lt;&gt;"")*((GameListModeLastGames="Normal")+(GameListModeLastGames="Ranked"))*(GameListDamageChampionsLastGames)
   )
   /MAX(
   SUMPRODUCT(
    (GameListChampionLastGames=$G22)*(GameListDamageChampionsLastGames&lt;&gt;"")*((GameListModeLastGames="Normal")+(GameListModeLastGames="Ranked"))*(GameListMinLastGames + (GameListSecLastGames / 60))
   ),1
  ),0),")"
 ),"0 (0)"
)</f>
        <v>0 (0)</v>
      </c>
      <c r="R22" s="62" t="str">
        <f ca="1">IFERROR(
 CONCATENATE(
  ROUND(
   SUMPRODUCT(
    (GameListChampion=$G22)*((GameListMode="Normal")+(GameListMode="Ranked"))*(GameListGold)
   )
   /
   SUMPRODUCT(
    (GameListChampion=$G22)*((GameListMode="Normal")+(GameListMode="Ranked"))*(GameListMin + (GameListSec / 60))
   ),0
  )," (",ROUND(
   SUMPRODUCT(
    (GameListChampionLastGames=$G22)*((GameListModeLastGames="Normal")+(GameListModeLastGames="Ranked"))*(GameListGoldLastGames)
   )
   /
   MAX(SUMPRODUCT(
    (GameListChampionLastGames=$G22)*((GameListModeLastGames="Normal")+(GameListModeLastGames="Ranked"))*(GameListMinLastGames + (GameListSecLastGames / 60))
   ),1),0
  ),")"
 ),"0 (0)"
)</f>
        <v>0 (0)</v>
      </c>
      <c r="S22" s="15" t="str">
        <f ca="1">IFERROR(
CONCATENATE(
ROUNDDOWN(
SUMPRODUCT((GameListChampion=$G22)*((GameListMode="Normal")+(GameListMode="Ranked"))*(GameListMin+(GameListSec/60)))/H22,0
),":",ROUNDDOWN(
(SUMPRODUCT((GameListChampion=$G22)*((GameListMode="Normal")+(GameListMode="Ranked"))*(GameListMin+(GameListSec/60)))/H22
-
ROUNDDOWN(
SUMPRODUCT((GameListChampion=$G22)*((GameListMode="Normal")+(GameListMode="Ranked"))*(GameListMin+(GameListSec/60)))/H22,0
))*60,0
)
),"00:00"
)</f>
        <v>00:00</v>
      </c>
      <c r="T22" s="23">
        <f ca="1">IFERROR(SUMPRODUCT((GameListChampion=G22)*((GameListMode="Normal")+(GameListMode="Ranked"))*GameListWardsPlaced)/SUMPRODUCT((GameListChampion=G22)*(GameListWardsPlaced&gt;0)*((GameListMode="Normal")+(GameListMode="Ranked"))*1),0)</f>
        <v>0</v>
      </c>
      <c r="U22" s="23">
        <f ca="1">IFERROR(SUMPRODUCT((GameListChampion=G22)*((GameListMode="Normal")+(GameListMode="Ranked"))*GameListWardsKilled)/SUMPRODUCT((GameListChampion=G22)*((GameListMode="Normal")+(GameListMode="Ranked"))*(GameListWardsKilled&lt;&gt;"")*1),0)</f>
        <v>0</v>
      </c>
    </row>
    <row r="23" spans="1:21" x14ac:dyDescent="0.3">
      <c r="A23" s="28" t="s">
        <v>229</v>
      </c>
      <c r="B23" s="9"/>
      <c r="C23" s="16">
        <f ca="1">SUMPRODUCT(GameListWardsKilled)</f>
        <v>0</v>
      </c>
      <c r="D23" s="16">
        <f ca="1">SUMPRODUCT(GameListWardsKilled*(GameListChampion=D18))</f>
        <v>0</v>
      </c>
      <c r="E23" s="16">
        <f ca="1">SUMPRODUCT(GameListWardsKilled*(GameListChampion=E18))</f>
        <v>0</v>
      </c>
      <c r="G23" s="53"/>
      <c r="H23" s="9">
        <f ca="1">IFERROR(
 SUMPRODUCT(($G23&lt;&gt;"")*(GameListChampion=$G23)*((GameListMode="Normal")+(GameListMode="Ranked"))),0
)</f>
        <v>0</v>
      </c>
      <c r="I23" s="13" t="e">
        <f t="shared" ca="1" si="6"/>
        <v>#DIV/0!</v>
      </c>
      <c r="J23" s="8">
        <f ca="1">IFERROR(
 SUMPRODUCT((GameListChampion=$G23)*GameListWinLoss*((GameListMode="Normal")+(GameListMode="Ranked")))/$H23,0
)</f>
        <v>0</v>
      </c>
      <c r="K23" s="8">
        <f ca="1">IFERROR(
 SUMPRODUCT((GameListChampionLastGames=$G23)*GameListWinLossLastGames*((GameListModeLastGames="Normal")+(GameListModeLastGames="Ranked")))/SUMPRODUCT((GameListChampionLastGames=$G23)*((GameListModeLastGames="Normal")+(GameListModeLastGames="Ranked"))*1),0
)</f>
        <v>0</v>
      </c>
      <c r="L23" s="8">
        <f t="array" aca="1" ref="L23" ca="1">IFERROR(
 SUMPRODUCT((GameListChampion=$G23)*(GameListMode="Ranked")*GameListWinLoss)
 /
 SUMPRODUCT((GameListChampion=$G23)*(GameListMode="Ranked")),0
)</f>
        <v>0</v>
      </c>
      <c r="M23" s="8">
        <f t="array" aca="1" ref="M23" ca="1">IFERROR(
 SUMPRODUCT((GameListChampion=$G23)*(GameListMode="Normal")*GameListWinLoss)
 /
 SUMPRODUCT((GameListChampion=$G23)*(GameListMode="Normal")),0
)</f>
        <v>0</v>
      </c>
      <c r="N23" s="6" t="str">
        <f ca="1">IFERROR(
 CONCATENATE(
  ROUND(
   SUMPRODUCT(
    (GameListChampion=$G23)*((GameListMode="Normal")+(GameListMode="Ranked"))*((GameListKills+GameListAssists)
    /
    IF(
     SUMPRODUCT(
      (GameListChampion=$G23)*((GameListMode="Normal")+(GameListMode="Ranked"))*GameListDeaths
      )=0,1,SUMPRODUCT(
      (GameListChampion=$G23)*((GameListMode="Normal")+(GameListMode="Ranked"))*GameListDeaths)
     )
    )
   ),2
  )," (",
  ROUND(
   SUMPRODUCT(
    (GameListChampionLastGames=$G23)*((GameListModeLastGames="Normal")+(GameListModeLastGames="Ranked"))*((GameListKillsLastGames+GameListAssistsLastGames)
    /
    IF(
     SUMPRODUCT(
      (GameListChampionLastGames=$G23)*((GameListModeLastGames="Normal")+(GameListModeLastGames="Ranked"))*GameListDeathsLastGames
      )=0,1,SUMPRODUCT(
      (GameListChampionLastGames=$G23)*((GameListModeLastGames="Normal")+(GameListModeLastGames="Ranked"))*GameListDeathsLastGames)
     )
    )
   ),2
  ),")"
 ),"0 (0)"
)</f>
        <v>0 (0)</v>
      </c>
      <c r="O23" s="5" t="str">
        <f ca="1">IFERROR(CONCATENATE(
  ROUND(
   SUMPRODUCT(
    (GameListChampion=$G23)*((GameListMode="Normal")+(GameListMode="Ranked"))*(GameListCS)
   )/H23,0
  )," (",ROUND(
   SUMPRODUCT(
    (GameListChampionLastGames=$G23)*((GameListModeLastGames="Normal")+(GameListModeLastGames="Ranked"))*(GameListCSLastGames)
   )/MAX(SUMPRODUCT((GameListChampionLastGames=$G23)*1),1),0
  ),")"
 ),"0 (0)")</f>
        <v>0 (0)</v>
      </c>
      <c r="P23" s="19" t="str">
        <f ca="1">IFERROR(
 CONCATENATE(
  ROUND(
   SUMPRODUCT(
    (GameListChampion=$G23)*((GameListMode="Normal")+(GameListMode="Ranked"))*(GameListCS)
   )
   /
   SUMPRODUCT(
    (GameListChampion=$G23)*((GameListMode="Normal")+(GameListMode="Ranked"))*(GameListMin + (GameListSec / 60))
   ),2
  )," (",
  ROUND(
   SUMPRODUCT(
    (GameListChampionLastGames=$G23)*((GameListModeLastGames="Normal")+(GameListModeLastGames="Ranked"))*(GameListCSLastGames)
   )
   /MAX(
   SUMPRODUCT(
    (GameListChampionLastGames=$G23)*((GameListModeLastGames="Normal")+(GameListModeLastGames="Ranked"))*(GameListMinLastGames + (GameListSecLastGames / 60))
   ),1
  ),2),")"
 ),"0 (0)"
)</f>
        <v>0 (0)</v>
      </c>
      <c r="Q23" s="63" t="str">
        <f ca="1">IFERROR(
 CONCATENATE(
  ROUND(
   SUMPRODUCT(
    (GameListChampion=$G23)*(GameListDamageChampions&lt;&gt;"")*((GameListMode="Normal")+(GameListMode="Ranked"))*(GameListDamageChampions)
   )
   /
   SUMPRODUCT(
    (GameListChampion=$G23)*(GameListDamageChampions&lt;&gt;"")*((GameListMode="Normal")+(GameListMode="Ranked"))*(GameListMin + (GameListSec / 60))
   ),0
  )," (",
  ROUND(
   SUMPRODUCT(
    (GameListChampionLastGames=$G23)*(GameListDamageChampionsLastGames&lt;&gt;"")*((GameListModeLastGames="Normal")+(GameListModeLastGames="Ranked"))*(GameListDamageChampionsLastGames)
   )
   /MAX(
   SUMPRODUCT(
    (GameListChampionLastGames=$G23)*(GameListDamageChampionsLastGames&lt;&gt;"")*((GameListModeLastGames="Normal")+(GameListModeLastGames="Ranked"))*(GameListMinLastGames + (GameListSecLastGames / 60))
   ),1
  ),0),")"
 ),"0 (0)"
)</f>
        <v>0 (0)</v>
      </c>
      <c r="R23" s="62" t="str">
        <f ca="1">IFERROR(
 CONCATENATE(
  ROUND(
   SUMPRODUCT(
    (GameListChampion=$G23)*((GameListMode="Normal")+(GameListMode="Ranked"))*(GameListGold)
   )
   /
   SUMPRODUCT(
    (GameListChampion=$G23)*((GameListMode="Normal")+(GameListMode="Ranked"))*(GameListMin + (GameListSec / 60))
   ),0
  )," (",ROUND(
   SUMPRODUCT(
    (GameListChampionLastGames=$G23)*((GameListModeLastGames="Normal")+(GameListModeLastGames="Ranked"))*(GameListGoldLastGames)
   )
   /
   MAX(SUMPRODUCT(
    (GameListChampionLastGames=$G23)*((GameListModeLastGames="Normal")+(GameListModeLastGames="Ranked"))*(GameListMinLastGames + (GameListSecLastGames / 60))
   ),1),0
  ),")"
 ),"0 (0)"
)</f>
        <v>0 (0)</v>
      </c>
      <c r="S23" s="15" t="str">
        <f ca="1">IFERROR(
CONCATENATE(
ROUNDDOWN(
SUMPRODUCT((GameListChampion=$G23)*((GameListMode="Normal")+(GameListMode="Ranked"))*(GameListMin+(GameListSec/60)))/H23,0
),":",ROUNDDOWN(
(SUMPRODUCT((GameListChampion=$G23)*((GameListMode="Normal")+(GameListMode="Ranked"))*(GameListMin+(GameListSec/60)))/H23
-
ROUNDDOWN(
SUMPRODUCT((GameListChampion=$G23)*((GameListMode="Normal")+(GameListMode="Ranked"))*(GameListMin+(GameListSec/60)))/H23,0
))*60,0
)
),"00:00"
)</f>
        <v>00:00</v>
      </c>
      <c r="T23" s="23">
        <f ca="1">IFERROR(SUMPRODUCT((GameListChampion=G23)*((GameListMode="Normal")+(GameListMode="Ranked"))*GameListWardsPlaced)/SUMPRODUCT((GameListChampion=G23)*(GameListWardsPlaced&gt;0)*((GameListMode="Normal")+(GameListMode="Ranked"))*1),0)</f>
        <v>0</v>
      </c>
      <c r="U23" s="23">
        <f ca="1">IFERROR(SUMPRODUCT((GameListChampion=G23)*((GameListMode="Normal")+(GameListMode="Ranked"))*GameListWardsKilled)/SUMPRODUCT((GameListChampion=G23)*((GameListMode="Normal")+(GameListMode="Ranked"))*(GameListWardsKilled&lt;&gt;"")*1),0)</f>
        <v>0</v>
      </c>
    </row>
    <row r="24" spans="1:21" x14ac:dyDescent="0.3">
      <c r="A24" s="1" t="s">
        <v>260</v>
      </c>
      <c r="C24" s="65" t="str">
        <f ca="1">IFERROR(CONCATENATE(
 ROUNDDOWN(SUMPRODUCT((GameListChampion&lt;&gt;"")*((GameListMin*60)+(GameListSec)))/3600, 0),
 ":",
 ROUNDDOWN((SUMPRODUCT((GameListChampion&lt;&gt;"")*((GameListMin*60)+(GameListSec))) - (ROUNDDOWN(SUMPRODUCT((GameListChampion&lt;&gt;"")*((GameListMin*60)+(GameListSec)))/3600, 0)*3600))/60, 0),
 ":",
 SUMPRODUCT((GameListChampion&lt;&gt;"")*((GameListMin*60)+(GameListSec))) - ROUNDDOWN((SUMPRODUCT((GameListChampion&lt;&gt;"")*((GameListMin*60)+(GameListSec))) - (ROUNDDOWN(SUMPRODUCT((GameListChampion&lt;&gt;"")*((GameListMin*60)+(GameListSec)))/3600, 0)*3600))/60, 0)*60 - ROUNDDOWN(SUMPRODUCT((GameListChampion&lt;&gt;"")*((GameListMin*60)+(GameListSec)))/3600, 0)*3600
), 0)</f>
        <v>0:0:0</v>
      </c>
      <c r="D24" s="14" t="str">
        <f ca="1">IFERROR(CONCATENATE(
 ROUNDDOWN(SUMPRODUCT((GameListChampion=D18)*((GameListMin*60)+(GameListSec)))/3600, 0),
 ":",
 ROUNDDOWN((SUMPRODUCT((GameListChampion=D18)*((GameListMin*60)+(GameListSec))) - (ROUNDDOWN(SUMPRODUCT((GameListChampion=D18)*((GameListMin*60)+(GameListSec)))/3600, 0)*3600))/60, 0),
 ":",
 SUMPRODUCT((GameListChampion=D18)*((GameListMin*60)+(GameListSec))) - ROUNDDOWN((SUMPRODUCT((GameListChampion=D18)*((GameListMin*60)+(GameListSec))) - (ROUNDDOWN(SUMPRODUCT((GameListChampion=D18)*((GameListMin*60)+(GameListSec)))/3600, 0)*3600))/60, 0)*60 - ROUNDDOWN(SUMPRODUCT((GameListChampion=D18)*((GameListMin*60)+(GameListSec)))/3600, 0)*3600
), 0)</f>
        <v>0:0:0</v>
      </c>
      <c r="E24" s="14" t="str">
        <f ca="1">IFERROR(CONCATENATE(
 ROUNDDOWN(SUMPRODUCT((GameListChampion=E18)*((GameListMin*60)+(GameListSec)))/3600, 0),
 ":",
 ROUNDDOWN((SUMPRODUCT((GameListChampion=E18)*((GameListMin*60)+(GameListSec))) - (ROUNDDOWN(SUMPRODUCT((GameListChampion=E18)*((GameListMin*60)+(GameListSec)))/3600, 0)*3600))/60, 0),
 ":",
 SUMPRODUCT((GameListChampion=E18)*((GameListMin*60)+(GameListSec))) - ROUNDDOWN((SUMPRODUCT((GameListChampion=E18)*((GameListMin*60)+(GameListSec))) - (ROUNDDOWN(SUMPRODUCT((GameListChampion=E18)*((GameListMin*60)+(GameListSec)))/3600, 0)*3600))/60, 0)*60 - ROUNDDOWN(SUMPRODUCT((GameListChampion=E18)*((GameListMin*60)+(GameListSec)))/3600, 0)*3600
), 0)</f>
        <v>0:0:0</v>
      </c>
      <c r="G24" s="53"/>
      <c r="H24" s="9">
        <f ca="1">IFERROR(
 SUMPRODUCT(($G24&lt;&gt;"")*(GameListChampion=$G24)*((GameListMode="Normal")+(GameListMode="Ranked"))),0
)</f>
        <v>0</v>
      </c>
      <c r="I24" s="13" t="e">
        <f t="shared" ca="1" si="6"/>
        <v>#DIV/0!</v>
      </c>
      <c r="J24" s="8">
        <f ca="1">IFERROR(
 SUMPRODUCT((GameListChampion=$G24)*GameListWinLoss*((GameListMode="Normal")+(GameListMode="Ranked")))/$H24,0
)</f>
        <v>0</v>
      </c>
      <c r="K24" s="8">
        <f ca="1">IFERROR(
 SUMPRODUCT((GameListChampionLastGames=$G24)*GameListWinLossLastGames*((GameListModeLastGames="Normal")+(GameListModeLastGames="Ranked")))/SUMPRODUCT((GameListChampionLastGames=$G24)*((GameListModeLastGames="Normal")+(GameListModeLastGames="Ranked"))*1),0
)</f>
        <v>0</v>
      </c>
      <c r="L24" s="8">
        <f t="array" aca="1" ref="L24" ca="1">IFERROR(
 SUMPRODUCT((GameListChampion=$G24)*(GameListMode="Ranked")*GameListWinLoss)
 /
 SUMPRODUCT((GameListChampion=$G24)*(GameListMode="Ranked")),0
)</f>
        <v>0</v>
      </c>
      <c r="M24" s="8">
        <f t="array" aca="1" ref="M24" ca="1">IFERROR(
 SUMPRODUCT((GameListChampion=$G24)*(GameListMode="Normal")*GameListWinLoss)
 /
 SUMPRODUCT((GameListChampion=$G24)*(GameListMode="Normal")),0
)</f>
        <v>0</v>
      </c>
      <c r="N24" s="6" t="str">
        <f ca="1">IFERROR(
 CONCATENATE(
  ROUND(
   SUMPRODUCT(
    (GameListChampion=$G24)*((GameListMode="Normal")+(GameListMode="Ranked"))*((GameListKills+GameListAssists)
    /
    IF(
     SUMPRODUCT(
      (GameListChampion=$G24)*((GameListMode="Normal")+(GameListMode="Ranked"))*GameListDeaths
      )=0,1,SUMPRODUCT(
      (GameListChampion=$G24)*((GameListMode="Normal")+(GameListMode="Ranked"))*GameListDeaths)
     )
    )
   ),2
  )," (",
  ROUND(
   SUMPRODUCT(
    (GameListChampionLastGames=$G24)*((GameListModeLastGames="Normal")+(GameListModeLastGames="Ranked"))*((GameListKillsLastGames+GameListAssistsLastGames)
    /
    IF(
     SUMPRODUCT(
      (GameListChampionLastGames=$G24)*((GameListModeLastGames="Normal")+(GameListModeLastGames="Ranked"))*GameListDeathsLastGames
      )=0,1,SUMPRODUCT(
      (GameListChampionLastGames=$G24)*((GameListModeLastGames="Normal")+(GameListModeLastGames="Ranked"))*GameListDeathsLastGames)
     )
    )
   ),2
  ),")"
 ),"0 (0)"
)</f>
        <v>0 (0)</v>
      </c>
      <c r="O24" s="5" t="str">
        <f ca="1">IFERROR(CONCATENATE(
  ROUND(
   SUMPRODUCT(
    (GameListChampion=$G24)*((GameListMode="Normal")+(GameListMode="Ranked"))*(GameListCS)
   )/H24,0
  )," (",ROUND(
   SUMPRODUCT(
    (GameListChampionLastGames=$G24)*((GameListModeLastGames="Normal")+(GameListModeLastGames="Ranked"))*(GameListCSLastGames)
   )/MAX(SUMPRODUCT((GameListChampionLastGames=$G24)*1),1),0
  ),")"
 ),"0 (0)")</f>
        <v>0 (0)</v>
      </c>
      <c r="P24" s="19" t="str">
        <f ca="1">IFERROR(
 CONCATENATE(
  ROUND(
   SUMPRODUCT(
    (GameListChampion=$G24)*((GameListMode="Normal")+(GameListMode="Ranked"))*(GameListCS)
   )
   /
   SUMPRODUCT(
    (GameListChampion=$G24)*((GameListMode="Normal")+(GameListMode="Ranked"))*(GameListMin + (GameListSec / 60))
   ),2
  )," (",
  ROUND(
   SUMPRODUCT(
    (GameListChampionLastGames=$G24)*((GameListModeLastGames="Normal")+(GameListModeLastGames="Ranked"))*(GameListCSLastGames)
   )
   /MAX(
   SUMPRODUCT(
    (GameListChampionLastGames=$G24)*((GameListModeLastGames="Normal")+(GameListModeLastGames="Ranked"))*(GameListMinLastGames + (GameListSecLastGames / 60))
   ),1
  ),2),")"
 ),"0 (0)"
)</f>
        <v>0 (0)</v>
      </c>
      <c r="Q24" s="63" t="str">
        <f ca="1">IFERROR(
 CONCATENATE(
  ROUND(
   SUMPRODUCT(
    (GameListChampion=$G24)*(GameListDamageChampions&lt;&gt;"")*((GameListMode="Normal")+(GameListMode="Ranked"))*(GameListDamageChampions)
   )
   /
   SUMPRODUCT(
    (GameListChampion=$G24)*(GameListDamageChampions&lt;&gt;"")*((GameListMode="Normal")+(GameListMode="Ranked"))*(GameListMin + (GameListSec / 60))
   ),0
  )," (",
  ROUND(
   SUMPRODUCT(
    (GameListChampionLastGames=$G24)*(GameListDamageChampionsLastGames&lt;&gt;"")*((GameListModeLastGames="Normal")+(GameListModeLastGames="Ranked"))*(GameListDamageChampionsLastGames)
   )
   /MAX(
   SUMPRODUCT(
    (GameListChampionLastGames=$G24)*(GameListDamageChampionsLastGames&lt;&gt;"")*((GameListModeLastGames="Normal")+(GameListModeLastGames="Ranked"))*(GameListMinLastGames + (GameListSecLastGames / 60))
   ),1
  ),0),")"
 ),"0 (0)"
)</f>
        <v>0 (0)</v>
      </c>
      <c r="R24" s="62" t="str">
        <f ca="1">IFERROR(
 CONCATENATE(
  ROUND(
   SUMPRODUCT(
    (GameListChampion=$G24)*((GameListMode="Normal")+(GameListMode="Ranked"))*(GameListGold)
   )
   /
   SUMPRODUCT(
    (GameListChampion=$G24)*((GameListMode="Normal")+(GameListMode="Ranked"))*(GameListMin + (GameListSec / 60))
   ),0
  )," (",ROUND(
   SUMPRODUCT(
    (GameListChampionLastGames=$G24)*((GameListModeLastGames="Normal")+(GameListModeLastGames="Ranked"))*(GameListGoldLastGames)
   )
   /
   MAX(SUMPRODUCT(
    (GameListChampionLastGames=$G24)*((GameListModeLastGames="Normal")+(GameListModeLastGames="Ranked"))*(GameListMinLastGames + (GameListSecLastGames / 60))
   ),1),0
  ),")"
 ),"0 (0)"
)</f>
        <v>0 (0)</v>
      </c>
      <c r="S24" s="15" t="str">
        <f ca="1">IFERROR(
CONCATENATE(
ROUNDDOWN(
SUMPRODUCT((GameListChampion=$G24)*((GameListMode="Normal")+(GameListMode="Ranked"))*(GameListMin+(GameListSec/60)))/H24,0
),":",ROUNDDOWN(
(SUMPRODUCT((GameListChampion=$G24)*((GameListMode="Normal")+(GameListMode="Ranked"))*(GameListMin+(GameListSec/60)))/H24
-
ROUNDDOWN(
SUMPRODUCT((GameListChampion=$G24)*((GameListMode="Normal")+(GameListMode="Ranked"))*(GameListMin+(GameListSec/60)))/H24,0
))*60,0
)
),"00:00"
)</f>
        <v>00:00</v>
      </c>
      <c r="T24" s="23">
        <f ca="1">IFERROR(SUMPRODUCT((GameListChampion=G24)*((GameListMode="Normal")+(GameListMode="Ranked"))*GameListWardsPlaced)/SUMPRODUCT((GameListChampion=G24)*(GameListWardsPlaced&gt;0)*((GameListMode="Normal")+(GameListMode="Ranked"))*1),0)</f>
        <v>0</v>
      </c>
      <c r="U24" s="23">
        <f ca="1">IFERROR(SUMPRODUCT((GameListChampion=G24)*((GameListMode="Normal")+(GameListMode="Ranked"))*GameListWardsKilled)/SUMPRODUCT((GameListChampion=G24)*((GameListMode="Normal")+(GameListMode="Ranked"))*(GameListWardsKilled&lt;&gt;"")*1),0)</f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MatchHistory">
                <anchor moveWithCells="1" sizeWithCells="1">
                  <from>
                    <xdr:col>16</xdr:col>
                    <xdr:colOff>99060</xdr:colOff>
                    <xdr:row>2</xdr:row>
                    <xdr:rowOff>60960</xdr:rowOff>
                  </from>
                  <to>
                    <xdr:col>18</xdr:col>
                    <xdr:colOff>624840</xdr:colOff>
                    <xdr:row>6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622"/>
  <sheetViews>
    <sheetView workbookViewId="0">
      <selection activeCell="A3" sqref="A3:XFD116"/>
    </sheetView>
  </sheetViews>
  <sheetFormatPr defaultRowHeight="14.4" x14ac:dyDescent="0.3"/>
  <cols>
    <col min="1" max="1" width="12.44140625" style="45" bestFit="1" customWidth="1"/>
    <col min="2" max="2" width="8.88671875" style="45"/>
    <col min="3" max="3" width="7.6640625" style="45" bestFit="1" customWidth="1"/>
    <col min="4" max="4" width="8.77734375" style="45" customWidth="1"/>
    <col min="5" max="5" width="7.109375" style="45" customWidth="1"/>
    <col min="6" max="6" width="5.88671875" style="45" customWidth="1"/>
    <col min="7" max="7" width="7.21875" style="45" customWidth="1"/>
    <col min="8" max="8" width="7" style="45" customWidth="1"/>
    <col min="9" max="9" width="6" style="45" bestFit="1" customWidth="1"/>
    <col min="10" max="10" width="5" style="45" customWidth="1"/>
    <col min="11" max="11" width="7.77734375" style="46" bestFit="1" customWidth="1"/>
    <col min="12" max="12" width="5.77734375" style="45" bestFit="1" customWidth="1"/>
    <col min="13" max="13" width="6" style="45" customWidth="1"/>
    <col min="14" max="14" width="5.77734375" style="45" customWidth="1"/>
    <col min="15" max="15" width="10.5546875" style="47" bestFit="1" customWidth="1"/>
    <col min="16" max="16" width="6.5546875" style="45" bestFit="1" customWidth="1"/>
    <col min="17" max="17" width="5.5546875" style="45" bestFit="1" customWidth="1"/>
    <col min="18" max="18" width="8.88671875" style="45"/>
    <col min="23" max="26" width="8.88671875" style="45"/>
    <col min="28" max="50" width="8.88671875" style="45"/>
    <col min="51" max="51" width="12" style="45" bestFit="1" customWidth="1"/>
    <col min="52" max="52" width="11" style="48" bestFit="1" customWidth="1"/>
    <col min="53" max="16384" width="8.88671875" style="45"/>
  </cols>
  <sheetData>
    <row r="1" spans="1:52" s="36" customFormat="1" x14ac:dyDescent="0.3">
      <c r="K1" s="37"/>
      <c r="M1" s="36" t="s">
        <v>152</v>
      </c>
      <c r="O1" s="38"/>
      <c r="P1" s="36" t="s">
        <v>218</v>
      </c>
      <c r="R1" s="36" t="s">
        <v>252</v>
      </c>
      <c r="W1" s="36" t="s">
        <v>157</v>
      </c>
      <c r="AZ1" s="39"/>
    </row>
    <row r="2" spans="1:52" s="36" customFormat="1" x14ac:dyDescent="0.3">
      <c r="A2" s="36" t="s">
        <v>128</v>
      </c>
      <c r="B2" s="36" t="s">
        <v>143</v>
      </c>
      <c r="C2" s="36" t="s">
        <v>146</v>
      </c>
      <c r="D2" s="36" t="s">
        <v>134</v>
      </c>
      <c r="E2" s="36" t="s">
        <v>135</v>
      </c>
      <c r="F2" s="36" t="s">
        <v>136</v>
      </c>
      <c r="G2" s="36" t="s">
        <v>137</v>
      </c>
      <c r="H2" s="36" t="s">
        <v>138</v>
      </c>
      <c r="I2" s="36" t="s">
        <v>142</v>
      </c>
      <c r="J2" s="36" t="s">
        <v>141</v>
      </c>
      <c r="K2" s="37" t="s">
        <v>215</v>
      </c>
      <c r="L2" s="36" t="s">
        <v>160</v>
      </c>
      <c r="M2" s="36" t="s">
        <v>154</v>
      </c>
      <c r="N2" s="36" t="s">
        <v>155</v>
      </c>
      <c r="O2" s="38" t="s">
        <v>159</v>
      </c>
      <c r="P2" s="36" t="s">
        <v>219</v>
      </c>
      <c r="Q2" s="36" t="s">
        <v>220</v>
      </c>
      <c r="R2" s="36" t="s">
        <v>208</v>
      </c>
      <c r="S2" s="36" t="s">
        <v>253</v>
      </c>
      <c r="W2" s="36" t="s">
        <v>133</v>
      </c>
      <c r="X2" s="36" t="s">
        <v>153</v>
      </c>
      <c r="Y2" s="36" t="s">
        <v>158</v>
      </c>
      <c r="Z2" s="36" t="s">
        <v>256</v>
      </c>
      <c r="AY2" s="36" t="s">
        <v>284</v>
      </c>
      <c r="AZ2" s="39" t="s">
        <v>214</v>
      </c>
    </row>
    <row r="3" spans="1:52" s="40" customFormat="1" x14ac:dyDescent="0.3">
      <c r="K3" s="41"/>
      <c r="O3" s="42"/>
      <c r="Z3" s="43"/>
      <c r="AZ3" s="43"/>
    </row>
    <row r="4" spans="1:52" s="40" customFormat="1" x14ac:dyDescent="0.3">
      <c r="K4" s="41"/>
      <c r="O4" s="42"/>
      <c r="Z4" s="43"/>
      <c r="AZ4" s="43"/>
    </row>
    <row r="5" spans="1:52" s="40" customFormat="1" x14ac:dyDescent="0.3">
      <c r="K5" s="41"/>
      <c r="O5" s="42"/>
      <c r="Z5" s="43"/>
      <c r="AZ5" s="43"/>
    </row>
    <row r="6" spans="1:52" s="40" customFormat="1" x14ac:dyDescent="0.3">
      <c r="K6" s="41"/>
      <c r="O6" s="42"/>
      <c r="Z6" s="43"/>
      <c r="AZ6" s="43"/>
    </row>
    <row r="7" spans="1:52" s="40" customFormat="1" x14ac:dyDescent="0.3">
      <c r="K7" s="41"/>
      <c r="O7" s="42"/>
      <c r="Z7" s="43"/>
      <c r="AZ7" s="43"/>
    </row>
    <row r="8" spans="1:52" s="40" customFormat="1" x14ac:dyDescent="0.3">
      <c r="K8" s="41"/>
      <c r="O8" s="42"/>
      <c r="Z8" s="43"/>
      <c r="AZ8" s="43"/>
    </row>
    <row r="9" spans="1:52" s="40" customFormat="1" x14ac:dyDescent="0.3">
      <c r="K9" s="41"/>
      <c r="O9" s="42"/>
      <c r="Z9" s="43"/>
      <c r="AZ9" s="43"/>
    </row>
    <row r="10" spans="1:52" s="40" customFormat="1" x14ac:dyDescent="0.3">
      <c r="K10" s="41"/>
      <c r="O10" s="42"/>
      <c r="Z10" s="43"/>
      <c r="AZ10" s="43"/>
    </row>
    <row r="11" spans="1:52" s="40" customFormat="1" x14ac:dyDescent="0.3">
      <c r="K11" s="41"/>
      <c r="O11" s="42"/>
      <c r="Z11" s="43"/>
      <c r="AZ11" s="43"/>
    </row>
    <row r="12" spans="1:52" s="40" customFormat="1" x14ac:dyDescent="0.3">
      <c r="K12" s="41"/>
      <c r="O12" s="42"/>
      <c r="Z12" s="43"/>
      <c r="AZ12" s="43"/>
    </row>
    <row r="13" spans="1:52" s="40" customFormat="1" x14ac:dyDescent="0.3">
      <c r="K13" s="41"/>
      <c r="O13" s="42"/>
      <c r="Z13" s="43"/>
      <c r="AZ13" s="43"/>
    </row>
    <row r="14" spans="1:52" s="40" customFormat="1" x14ac:dyDescent="0.3">
      <c r="K14" s="41"/>
      <c r="O14" s="42"/>
      <c r="Z14" s="43"/>
      <c r="AZ14" s="43"/>
    </row>
    <row r="15" spans="1:52" s="40" customFormat="1" x14ac:dyDescent="0.3">
      <c r="K15" s="41"/>
      <c r="O15" s="42"/>
      <c r="Z15" s="43"/>
      <c r="AZ15" s="43"/>
    </row>
    <row r="16" spans="1:52" s="40" customFormat="1" x14ac:dyDescent="0.3">
      <c r="K16" s="41"/>
      <c r="O16" s="42"/>
      <c r="Z16" s="43"/>
      <c r="AZ16" s="43"/>
    </row>
    <row r="17" spans="11:52" s="40" customFormat="1" x14ac:dyDescent="0.3">
      <c r="K17" s="41"/>
      <c r="O17" s="42"/>
      <c r="Z17" s="43"/>
      <c r="AZ17" s="43"/>
    </row>
    <row r="18" spans="11:52" s="40" customFormat="1" x14ac:dyDescent="0.3">
      <c r="K18" s="41"/>
      <c r="O18" s="42"/>
      <c r="Z18" s="43"/>
      <c r="AZ18" s="43"/>
    </row>
    <row r="19" spans="11:52" s="40" customFormat="1" x14ac:dyDescent="0.3">
      <c r="K19" s="41"/>
      <c r="O19" s="42"/>
      <c r="Z19" s="43"/>
      <c r="AZ19" s="43"/>
    </row>
    <row r="20" spans="11:52" s="40" customFormat="1" x14ac:dyDescent="0.3">
      <c r="K20" s="41"/>
      <c r="O20" s="42"/>
      <c r="Z20" s="43"/>
      <c r="AZ20" s="43"/>
    </row>
    <row r="21" spans="11:52" s="40" customFormat="1" x14ac:dyDescent="0.3">
      <c r="K21" s="41"/>
      <c r="O21" s="42"/>
      <c r="Z21" s="43"/>
      <c r="AZ21" s="43"/>
    </row>
    <row r="22" spans="11:52" s="40" customFormat="1" x14ac:dyDescent="0.3">
      <c r="K22" s="41"/>
      <c r="O22" s="42"/>
      <c r="Z22" s="43"/>
      <c r="AZ22" s="43"/>
    </row>
    <row r="23" spans="11:52" s="40" customFormat="1" x14ac:dyDescent="0.3">
      <c r="K23" s="41"/>
      <c r="O23" s="42"/>
      <c r="Z23" s="43"/>
      <c r="AZ23" s="43"/>
    </row>
    <row r="24" spans="11:52" s="40" customFormat="1" x14ac:dyDescent="0.3">
      <c r="K24" s="41"/>
      <c r="O24" s="42"/>
      <c r="Z24" s="43"/>
      <c r="AZ24" s="43"/>
    </row>
    <row r="25" spans="11:52" s="40" customFormat="1" x14ac:dyDescent="0.3">
      <c r="K25" s="41"/>
      <c r="O25" s="42"/>
      <c r="Z25" s="43"/>
      <c r="AZ25" s="43"/>
    </row>
    <row r="26" spans="11:52" s="40" customFormat="1" x14ac:dyDescent="0.3">
      <c r="K26" s="41"/>
      <c r="O26" s="42"/>
      <c r="Z26" s="43"/>
      <c r="AZ26" s="43"/>
    </row>
    <row r="27" spans="11:52" s="40" customFormat="1" x14ac:dyDescent="0.3">
      <c r="K27" s="41"/>
      <c r="O27" s="42"/>
      <c r="Z27" s="43"/>
      <c r="AZ27" s="43"/>
    </row>
    <row r="28" spans="11:52" s="40" customFormat="1" x14ac:dyDescent="0.3">
      <c r="K28" s="41"/>
      <c r="O28" s="42"/>
      <c r="Z28" s="43"/>
      <c r="AZ28" s="43"/>
    </row>
    <row r="29" spans="11:52" s="40" customFormat="1" x14ac:dyDescent="0.3">
      <c r="K29" s="41"/>
      <c r="O29" s="42"/>
      <c r="Z29" s="43"/>
      <c r="AZ29" s="43"/>
    </row>
    <row r="30" spans="11:52" s="40" customFormat="1" x14ac:dyDescent="0.3">
      <c r="K30" s="41"/>
      <c r="O30" s="42"/>
      <c r="Z30" s="43"/>
      <c r="AZ30" s="43"/>
    </row>
    <row r="31" spans="11:52" s="40" customFormat="1" x14ac:dyDescent="0.3">
      <c r="K31" s="41"/>
      <c r="O31" s="42"/>
      <c r="Z31" s="43"/>
      <c r="AZ31" s="43"/>
    </row>
    <row r="32" spans="11:52" s="40" customFormat="1" x14ac:dyDescent="0.3">
      <c r="K32" s="41"/>
      <c r="L32" s="44"/>
      <c r="O32" s="42"/>
      <c r="Z32" s="43"/>
      <c r="AZ32" s="43"/>
    </row>
    <row r="33" spans="11:52" s="40" customFormat="1" x14ac:dyDescent="0.3">
      <c r="K33" s="41"/>
      <c r="L33" s="44"/>
      <c r="O33" s="42"/>
      <c r="Z33" s="43"/>
      <c r="AZ33" s="43"/>
    </row>
    <row r="34" spans="11:52" s="40" customFormat="1" x14ac:dyDescent="0.3">
      <c r="K34" s="41"/>
      <c r="L34" s="44"/>
      <c r="O34" s="42"/>
      <c r="Z34" s="43"/>
      <c r="AZ34" s="43"/>
    </row>
    <row r="35" spans="11:52" s="40" customFormat="1" x14ac:dyDescent="0.3">
      <c r="K35" s="41"/>
      <c r="L35" s="44"/>
      <c r="O35" s="42"/>
      <c r="Z35" s="43"/>
      <c r="AZ35" s="43"/>
    </row>
    <row r="36" spans="11:52" s="40" customFormat="1" x14ac:dyDescent="0.3">
      <c r="K36" s="41"/>
      <c r="L36" s="44"/>
      <c r="O36" s="42"/>
      <c r="Z36" s="43"/>
      <c r="AZ36" s="43"/>
    </row>
    <row r="37" spans="11:52" s="40" customFormat="1" x14ac:dyDescent="0.3">
      <c r="K37" s="41"/>
      <c r="L37" s="44"/>
      <c r="O37" s="42"/>
      <c r="Z37" s="43"/>
      <c r="AZ37" s="43"/>
    </row>
    <row r="38" spans="11:52" s="40" customFormat="1" x14ac:dyDescent="0.3">
      <c r="K38" s="41"/>
      <c r="L38" s="44"/>
      <c r="O38" s="42"/>
      <c r="Z38" s="43"/>
      <c r="AZ38" s="43"/>
    </row>
    <row r="39" spans="11:52" s="40" customFormat="1" x14ac:dyDescent="0.3">
      <c r="K39" s="41"/>
      <c r="L39" s="44"/>
      <c r="O39" s="42"/>
      <c r="Z39" s="43"/>
      <c r="AZ39" s="43"/>
    </row>
    <row r="40" spans="11:52" s="40" customFormat="1" x14ac:dyDescent="0.3">
      <c r="K40" s="41"/>
      <c r="L40" s="44"/>
      <c r="O40" s="42"/>
      <c r="Z40" s="43"/>
      <c r="AZ40" s="43"/>
    </row>
    <row r="41" spans="11:52" s="40" customFormat="1" x14ac:dyDescent="0.3">
      <c r="K41" s="41"/>
      <c r="L41" s="44"/>
      <c r="O41" s="42"/>
      <c r="Z41" s="43"/>
      <c r="AZ41" s="43"/>
    </row>
    <row r="42" spans="11:52" s="40" customFormat="1" x14ac:dyDescent="0.3">
      <c r="K42" s="41"/>
      <c r="L42" s="44"/>
      <c r="O42" s="42"/>
      <c r="Z42" s="43"/>
      <c r="AZ42" s="43"/>
    </row>
    <row r="43" spans="11:52" s="40" customFormat="1" x14ac:dyDescent="0.3">
      <c r="K43" s="41"/>
      <c r="L43" s="44"/>
      <c r="O43" s="42"/>
      <c r="Z43" s="43"/>
      <c r="AZ43" s="43"/>
    </row>
    <row r="44" spans="11:52" s="40" customFormat="1" x14ac:dyDescent="0.3">
      <c r="K44" s="41"/>
      <c r="L44" s="44"/>
      <c r="O44" s="42"/>
      <c r="Z44" s="43"/>
      <c r="AZ44" s="43"/>
    </row>
    <row r="45" spans="11:52" s="40" customFormat="1" x14ac:dyDescent="0.3">
      <c r="K45" s="41"/>
      <c r="L45" s="44"/>
      <c r="O45" s="42"/>
      <c r="Z45" s="43"/>
    </row>
    <row r="46" spans="11:52" s="40" customFormat="1" x14ac:dyDescent="0.3">
      <c r="K46" s="41"/>
      <c r="L46" s="44"/>
      <c r="O46" s="42"/>
      <c r="Z46" s="43"/>
    </row>
    <row r="47" spans="11:52" s="40" customFormat="1" x14ac:dyDescent="0.3">
      <c r="K47" s="41"/>
      <c r="L47" s="44"/>
      <c r="O47" s="42"/>
      <c r="Z47" s="43"/>
    </row>
    <row r="48" spans="11:52" s="40" customFormat="1" x14ac:dyDescent="0.3">
      <c r="K48" s="41"/>
      <c r="L48" s="44"/>
      <c r="O48" s="42"/>
      <c r="Z48" s="43"/>
    </row>
    <row r="49" spans="11:52" s="40" customFormat="1" x14ac:dyDescent="0.3">
      <c r="K49" s="41"/>
      <c r="L49" s="44"/>
      <c r="O49" s="42"/>
      <c r="Z49" s="43"/>
    </row>
    <row r="50" spans="11:52" s="40" customFormat="1" x14ac:dyDescent="0.3">
      <c r="K50" s="41"/>
      <c r="L50" s="44"/>
      <c r="O50" s="42"/>
      <c r="Z50" s="43"/>
    </row>
    <row r="51" spans="11:52" s="40" customFormat="1" x14ac:dyDescent="0.3">
      <c r="K51" s="41"/>
      <c r="L51" s="44"/>
      <c r="O51" s="42"/>
      <c r="Z51" s="43"/>
    </row>
    <row r="52" spans="11:52" s="40" customFormat="1" x14ac:dyDescent="0.3">
      <c r="K52" s="41"/>
      <c r="L52" s="44"/>
      <c r="O52" s="42"/>
      <c r="Z52" s="43"/>
    </row>
    <row r="53" spans="11:52" s="40" customFormat="1" x14ac:dyDescent="0.3">
      <c r="K53" s="41"/>
      <c r="L53" s="44"/>
      <c r="O53" s="42"/>
      <c r="Z53" s="43"/>
    </row>
    <row r="54" spans="11:52" s="40" customFormat="1" x14ac:dyDescent="0.3">
      <c r="K54" s="41"/>
      <c r="L54" s="44"/>
      <c r="M54" s="41"/>
      <c r="N54" s="41"/>
      <c r="O54" s="42"/>
      <c r="Z54" s="43"/>
    </row>
    <row r="55" spans="11:52" s="40" customFormat="1" x14ac:dyDescent="0.3">
      <c r="K55" s="41"/>
      <c r="L55" s="44"/>
      <c r="O55" s="42"/>
      <c r="Z55" s="43"/>
      <c r="AZ55" s="43"/>
    </row>
    <row r="56" spans="11:52" s="40" customFormat="1" x14ac:dyDescent="0.3">
      <c r="K56" s="41"/>
      <c r="L56" s="44"/>
      <c r="O56" s="42"/>
      <c r="Z56" s="43"/>
      <c r="AZ56" s="43"/>
    </row>
    <row r="57" spans="11:52" s="40" customFormat="1" x14ac:dyDescent="0.3">
      <c r="K57" s="41"/>
      <c r="L57" s="44"/>
      <c r="O57" s="42"/>
      <c r="Z57" s="43"/>
      <c r="AZ57" s="43"/>
    </row>
    <row r="58" spans="11:52" s="40" customFormat="1" x14ac:dyDescent="0.3">
      <c r="K58" s="41"/>
      <c r="L58" s="44"/>
      <c r="O58" s="42"/>
      <c r="Z58" s="43"/>
      <c r="AZ58" s="43"/>
    </row>
    <row r="59" spans="11:52" s="40" customFormat="1" x14ac:dyDescent="0.3">
      <c r="K59" s="41"/>
      <c r="L59" s="44"/>
      <c r="O59" s="42"/>
      <c r="Z59" s="43"/>
      <c r="AZ59" s="43"/>
    </row>
    <row r="60" spans="11:52" s="40" customFormat="1" x14ac:dyDescent="0.3">
      <c r="K60" s="41"/>
      <c r="L60" s="44"/>
      <c r="O60" s="42"/>
      <c r="Z60" s="43"/>
      <c r="AZ60" s="43"/>
    </row>
    <row r="61" spans="11:52" s="40" customFormat="1" x14ac:dyDescent="0.3">
      <c r="K61" s="41"/>
      <c r="L61" s="44"/>
      <c r="O61" s="42"/>
      <c r="Z61" s="43"/>
      <c r="AZ61" s="43"/>
    </row>
    <row r="62" spans="11:52" s="40" customFormat="1" x14ac:dyDescent="0.3">
      <c r="K62" s="41"/>
      <c r="L62" s="44"/>
      <c r="O62" s="42"/>
      <c r="Z62" s="43"/>
      <c r="AZ62" s="43"/>
    </row>
    <row r="63" spans="11:52" s="40" customFormat="1" x14ac:dyDescent="0.3">
      <c r="K63" s="41"/>
      <c r="L63" s="44"/>
      <c r="O63" s="42"/>
      <c r="Z63" s="43"/>
      <c r="AZ63" s="43"/>
    </row>
    <row r="64" spans="11:52" s="40" customFormat="1" x14ac:dyDescent="0.3">
      <c r="K64" s="41"/>
      <c r="L64" s="44"/>
      <c r="O64" s="42"/>
      <c r="Z64" s="43"/>
      <c r="AZ64" s="43"/>
    </row>
    <row r="65" spans="11:52" s="40" customFormat="1" x14ac:dyDescent="0.3">
      <c r="K65" s="41"/>
      <c r="L65" s="44"/>
      <c r="O65" s="42"/>
      <c r="Z65" s="43"/>
      <c r="AZ65" s="43"/>
    </row>
    <row r="66" spans="11:52" s="40" customFormat="1" x14ac:dyDescent="0.3">
      <c r="K66" s="41"/>
      <c r="L66" s="44"/>
      <c r="O66" s="42"/>
      <c r="Z66" s="43"/>
      <c r="AZ66" s="43"/>
    </row>
    <row r="67" spans="11:52" s="40" customFormat="1" x14ac:dyDescent="0.3">
      <c r="K67" s="41"/>
      <c r="L67" s="44"/>
      <c r="O67" s="42"/>
      <c r="Z67" s="43"/>
      <c r="AZ67" s="43"/>
    </row>
    <row r="68" spans="11:52" s="40" customFormat="1" x14ac:dyDescent="0.3">
      <c r="K68" s="41"/>
      <c r="L68" s="44"/>
      <c r="O68" s="42"/>
      <c r="Z68" s="43"/>
      <c r="AZ68" s="43"/>
    </row>
    <row r="69" spans="11:52" s="40" customFormat="1" x14ac:dyDescent="0.3">
      <c r="K69" s="41"/>
      <c r="L69" s="44"/>
      <c r="O69" s="42"/>
      <c r="Z69" s="43"/>
      <c r="AZ69" s="43"/>
    </row>
    <row r="70" spans="11:52" s="40" customFormat="1" x14ac:dyDescent="0.3">
      <c r="K70" s="41"/>
      <c r="L70" s="44"/>
      <c r="O70" s="42"/>
      <c r="Z70" s="43"/>
      <c r="AZ70" s="43"/>
    </row>
    <row r="71" spans="11:52" s="40" customFormat="1" x14ac:dyDescent="0.3">
      <c r="K71" s="41"/>
      <c r="L71" s="44"/>
      <c r="O71" s="42"/>
      <c r="Z71" s="43"/>
      <c r="AZ71" s="43"/>
    </row>
    <row r="72" spans="11:52" s="40" customFormat="1" x14ac:dyDescent="0.3">
      <c r="K72" s="41"/>
      <c r="L72" s="44"/>
      <c r="O72" s="42"/>
      <c r="Z72" s="43"/>
      <c r="AZ72" s="43"/>
    </row>
    <row r="73" spans="11:52" s="40" customFormat="1" x14ac:dyDescent="0.3">
      <c r="K73" s="41"/>
      <c r="L73" s="44"/>
      <c r="O73" s="42"/>
      <c r="Z73" s="43"/>
      <c r="AZ73" s="43"/>
    </row>
    <row r="74" spans="11:52" s="40" customFormat="1" x14ac:dyDescent="0.3">
      <c r="K74" s="41"/>
      <c r="L74" s="44"/>
      <c r="O74" s="42"/>
      <c r="Z74" s="43"/>
      <c r="AZ74" s="43"/>
    </row>
    <row r="75" spans="11:52" s="40" customFormat="1" x14ac:dyDescent="0.3">
      <c r="K75" s="41"/>
      <c r="L75" s="44"/>
      <c r="O75" s="42"/>
      <c r="Z75" s="43"/>
      <c r="AZ75" s="43"/>
    </row>
    <row r="76" spans="11:52" s="40" customFormat="1" x14ac:dyDescent="0.3">
      <c r="K76" s="41"/>
      <c r="L76" s="44"/>
      <c r="O76" s="42"/>
      <c r="Z76" s="43"/>
      <c r="AZ76" s="43"/>
    </row>
    <row r="77" spans="11:52" s="40" customFormat="1" x14ac:dyDescent="0.3">
      <c r="K77" s="41"/>
      <c r="L77" s="44"/>
      <c r="O77" s="42"/>
      <c r="Z77" s="43"/>
      <c r="AZ77" s="43"/>
    </row>
    <row r="78" spans="11:52" s="40" customFormat="1" x14ac:dyDescent="0.3">
      <c r="K78" s="41"/>
      <c r="L78" s="44"/>
      <c r="O78" s="42"/>
      <c r="Z78" s="43"/>
      <c r="AZ78" s="43"/>
    </row>
    <row r="79" spans="11:52" s="40" customFormat="1" x14ac:dyDescent="0.3">
      <c r="K79" s="41"/>
      <c r="L79" s="44"/>
      <c r="O79" s="42"/>
      <c r="Z79" s="43"/>
      <c r="AZ79" s="43"/>
    </row>
    <row r="80" spans="11:52" s="40" customFormat="1" x14ac:dyDescent="0.3">
      <c r="K80" s="41"/>
      <c r="L80" s="44"/>
      <c r="O80" s="42"/>
      <c r="Z80" s="43"/>
      <c r="AZ80" s="43"/>
    </row>
    <row r="81" spans="11:52" s="40" customFormat="1" x14ac:dyDescent="0.3">
      <c r="K81" s="41"/>
      <c r="L81" s="44"/>
      <c r="O81" s="42"/>
      <c r="Z81" s="43"/>
      <c r="AZ81" s="43"/>
    </row>
    <row r="82" spans="11:52" s="40" customFormat="1" x14ac:dyDescent="0.3">
      <c r="K82" s="41"/>
      <c r="L82" s="44"/>
      <c r="O82" s="42"/>
      <c r="Z82" s="43"/>
      <c r="AZ82" s="43"/>
    </row>
    <row r="83" spans="11:52" s="40" customFormat="1" x14ac:dyDescent="0.3">
      <c r="K83" s="41"/>
      <c r="L83" s="44"/>
      <c r="O83" s="42"/>
      <c r="Z83" s="43"/>
      <c r="AZ83" s="43"/>
    </row>
    <row r="84" spans="11:52" s="40" customFormat="1" x14ac:dyDescent="0.3">
      <c r="K84" s="41"/>
      <c r="L84" s="44"/>
      <c r="O84" s="42"/>
      <c r="Z84" s="43"/>
      <c r="AZ84" s="43"/>
    </row>
    <row r="85" spans="11:52" s="40" customFormat="1" x14ac:dyDescent="0.3">
      <c r="K85" s="41"/>
      <c r="L85" s="44"/>
      <c r="O85" s="42"/>
      <c r="Z85" s="43"/>
      <c r="AZ85" s="43"/>
    </row>
    <row r="86" spans="11:52" s="40" customFormat="1" x14ac:dyDescent="0.3">
      <c r="K86" s="41"/>
      <c r="L86" s="44"/>
      <c r="O86" s="42"/>
      <c r="Z86" s="43"/>
      <c r="AZ86" s="43"/>
    </row>
    <row r="87" spans="11:52" s="40" customFormat="1" x14ac:dyDescent="0.3">
      <c r="K87" s="41"/>
      <c r="L87" s="44"/>
      <c r="O87" s="42"/>
      <c r="Z87" s="43"/>
      <c r="AZ87" s="43"/>
    </row>
    <row r="88" spans="11:52" s="40" customFormat="1" x14ac:dyDescent="0.3">
      <c r="K88" s="41"/>
      <c r="L88" s="44"/>
      <c r="O88" s="42"/>
      <c r="Z88" s="43"/>
      <c r="AZ88" s="43"/>
    </row>
    <row r="89" spans="11:52" s="40" customFormat="1" x14ac:dyDescent="0.3">
      <c r="K89" s="41"/>
      <c r="L89" s="44"/>
      <c r="O89" s="42"/>
      <c r="Z89" s="43"/>
      <c r="AZ89" s="43"/>
    </row>
    <row r="90" spans="11:52" s="40" customFormat="1" x14ac:dyDescent="0.3">
      <c r="K90" s="41"/>
      <c r="L90" s="44"/>
      <c r="O90" s="42"/>
      <c r="Z90" s="43"/>
      <c r="AZ90" s="43"/>
    </row>
    <row r="91" spans="11:52" s="40" customFormat="1" x14ac:dyDescent="0.3">
      <c r="K91" s="41"/>
      <c r="L91" s="44"/>
      <c r="O91" s="42"/>
      <c r="Z91" s="43"/>
      <c r="AZ91" s="43"/>
    </row>
    <row r="92" spans="11:52" s="40" customFormat="1" x14ac:dyDescent="0.3">
      <c r="K92" s="41"/>
      <c r="L92" s="44"/>
      <c r="O92" s="42"/>
      <c r="Z92" s="43"/>
      <c r="AZ92" s="43"/>
    </row>
    <row r="93" spans="11:52" s="40" customFormat="1" x14ac:dyDescent="0.3">
      <c r="K93" s="41"/>
      <c r="L93" s="44"/>
      <c r="O93" s="42"/>
      <c r="Z93" s="43"/>
      <c r="AZ93" s="43"/>
    </row>
    <row r="94" spans="11:52" s="40" customFormat="1" x14ac:dyDescent="0.3">
      <c r="K94" s="41"/>
      <c r="L94" s="44"/>
      <c r="O94" s="42"/>
      <c r="Z94" s="43"/>
      <c r="AZ94" s="43"/>
    </row>
    <row r="95" spans="11:52" s="40" customFormat="1" x14ac:dyDescent="0.3">
      <c r="K95" s="41"/>
      <c r="L95" s="44"/>
      <c r="O95" s="42"/>
      <c r="Z95" s="43"/>
      <c r="AZ95" s="43"/>
    </row>
    <row r="96" spans="11:52" s="40" customFormat="1" x14ac:dyDescent="0.3">
      <c r="K96" s="41"/>
      <c r="L96" s="44"/>
      <c r="O96" s="42"/>
      <c r="Z96" s="43"/>
      <c r="AZ96" s="43"/>
    </row>
    <row r="97" spans="1:52" s="40" customFormat="1" x14ac:dyDescent="0.3">
      <c r="K97" s="41"/>
      <c r="L97" s="44"/>
      <c r="O97" s="42"/>
      <c r="Z97" s="43"/>
      <c r="AZ97" s="43"/>
    </row>
    <row r="98" spans="1:52" s="40" customFormat="1" x14ac:dyDescent="0.3">
      <c r="K98" s="41"/>
      <c r="L98" s="44"/>
      <c r="O98" s="42"/>
      <c r="Z98" s="43"/>
      <c r="AZ98" s="43"/>
    </row>
    <row r="99" spans="1:52" s="40" customFormat="1" x14ac:dyDescent="0.3">
      <c r="K99" s="41"/>
      <c r="L99" s="44"/>
      <c r="O99" s="42"/>
      <c r="Z99" s="43"/>
      <c r="AZ99" s="43"/>
    </row>
    <row r="100" spans="1:52" s="40" customFormat="1" x14ac:dyDescent="0.3">
      <c r="K100" s="41"/>
      <c r="L100" s="44"/>
      <c r="O100" s="42"/>
      <c r="Z100" s="43"/>
      <c r="AZ100" s="43"/>
    </row>
    <row r="101" spans="1:52" s="40" customFormat="1" x14ac:dyDescent="0.3">
      <c r="K101" s="41"/>
      <c r="L101" s="44"/>
      <c r="O101" s="42"/>
      <c r="Z101" s="43"/>
      <c r="AZ101" s="43"/>
    </row>
    <row r="102" spans="1:52" s="40" customFormat="1" x14ac:dyDescent="0.3">
      <c r="K102" s="41"/>
      <c r="L102" s="44"/>
      <c r="O102" s="42"/>
      <c r="Z102" s="43"/>
      <c r="AZ102" s="43"/>
    </row>
    <row r="103" spans="1:52" s="40" customFormat="1" x14ac:dyDescent="0.3">
      <c r="K103" s="41"/>
      <c r="L103" s="44"/>
      <c r="O103" s="42"/>
      <c r="Z103" s="43"/>
      <c r="AZ103" s="43"/>
    </row>
    <row r="104" spans="1:52" s="40" customFormat="1" x14ac:dyDescent="0.3">
      <c r="K104" s="41"/>
      <c r="L104" s="44"/>
      <c r="O104" s="42"/>
      <c r="Z104" s="43"/>
      <c r="AZ104" s="43"/>
    </row>
    <row r="105" spans="1:52" s="40" customFormat="1" x14ac:dyDescent="0.3">
      <c r="K105" s="41"/>
      <c r="L105" s="44"/>
      <c r="O105" s="42"/>
      <c r="Z105" s="43"/>
      <c r="AZ105" s="43"/>
    </row>
    <row r="106" spans="1:52" s="40" customFormat="1" x14ac:dyDescent="0.3">
      <c r="K106" s="41"/>
      <c r="L106" s="44"/>
      <c r="O106" s="42"/>
      <c r="Z106" s="43"/>
      <c r="AZ106" s="43"/>
    </row>
    <row r="107" spans="1:52" s="40" customFormat="1" x14ac:dyDescent="0.3">
      <c r="K107" s="41"/>
      <c r="L107" s="44"/>
      <c r="O107" s="42"/>
      <c r="Z107" s="43"/>
      <c r="AZ107" s="43"/>
    </row>
    <row r="108" spans="1:52" s="40" customFormat="1" x14ac:dyDescent="0.3">
      <c r="K108" s="41"/>
      <c r="L108" s="44"/>
      <c r="O108" s="42"/>
      <c r="Z108" s="43"/>
      <c r="AZ108" s="43"/>
    </row>
    <row r="109" spans="1:52" s="40" customFormat="1" x14ac:dyDescent="0.3">
      <c r="K109" s="41"/>
      <c r="L109" s="44"/>
      <c r="O109" s="42"/>
      <c r="Y109" s="45"/>
      <c r="Z109" s="43"/>
      <c r="AZ109" s="43"/>
    </row>
    <row r="110" spans="1:52" s="40" customFormat="1" x14ac:dyDescent="0.3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6"/>
      <c r="L110" s="44"/>
      <c r="M110" s="45"/>
      <c r="N110" s="45"/>
      <c r="O110" s="47"/>
      <c r="Q110" s="45"/>
      <c r="X110" s="45"/>
      <c r="Y110" s="45"/>
      <c r="Z110" s="43"/>
      <c r="AZ110" s="48"/>
    </row>
    <row r="111" spans="1:52" s="40" customFormat="1" x14ac:dyDescent="0.3">
      <c r="K111" s="41"/>
      <c r="L111" s="44"/>
      <c r="O111" s="42"/>
      <c r="X111" s="45"/>
      <c r="Y111" s="43"/>
      <c r="Z111" s="43"/>
      <c r="AZ111" s="43"/>
    </row>
    <row r="112" spans="1:52" s="40" customFormat="1" x14ac:dyDescent="0.3">
      <c r="K112" s="41"/>
      <c r="L112" s="44"/>
      <c r="O112" s="42"/>
      <c r="X112" s="45"/>
      <c r="Y112" s="43"/>
      <c r="Z112" s="43"/>
      <c r="AZ112" s="43"/>
    </row>
    <row r="113" spans="1:52" s="40" customFormat="1" x14ac:dyDescent="0.3">
      <c r="K113" s="41"/>
      <c r="L113" s="44"/>
      <c r="O113" s="42"/>
      <c r="X113" s="45"/>
      <c r="Y113" s="43"/>
      <c r="Z113" s="43"/>
      <c r="AZ113" s="43"/>
    </row>
    <row r="114" spans="1:52" s="40" customFormat="1" x14ac:dyDescent="0.3">
      <c r="K114" s="41"/>
      <c r="L114" s="44"/>
      <c r="O114" s="42"/>
      <c r="X114" s="45"/>
      <c r="Y114" s="43"/>
      <c r="Z114" s="43"/>
      <c r="AZ114" s="43"/>
    </row>
    <row r="115" spans="1:52" s="40" customFormat="1" x14ac:dyDescent="0.3">
      <c r="K115" s="41"/>
      <c r="L115" s="44"/>
      <c r="O115" s="42"/>
      <c r="X115" s="45"/>
      <c r="Y115" s="43"/>
      <c r="Z115" s="43"/>
      <c r="AZ115" s="43"/>
    </row>
    <row r="116" spans="1:52" s="40" customFormat="1" x14ac:dyDescent="0.3">
      <c r="A116" s="45"/>
      <c r="B116" s="45"/>
      <c r="C116" s="45"/>
      <c r="D116" s="45"/>
      <c r="E116" s="45"/>
      <c r="F116" s="46"/>
      <c r="G116" s="46"/>
      <c r="H116" s="46"/>
      <c r="I116" s="46"/>
      <c r="J116" s="46"/>
      <c r="K116" s="46"/>
      <c r="L116" s="49"/>
      <c r="M116" s="46"/>
      <c r="N116" s="46"/>
      <c r="O116" s="47"/>
      <c r="Q116" s="45"/>
      <c r="X116" s="45"/>
      <c r="Y116" s="48"/>
      <c r="Z116" s="43"/>
      <c r="AZ116" s="48"/>
    </row>
    <row r="117" spans="1:52" s="40" customFormat="1" x14ac:dyDescent="0.3">
      <c r="O117" s="42"/>
    </row>
    <row r="118" spans="1:52" x14ac:dyDescent="0.3">
      <c r="AA118" s="45"/>
    </row>
    <row r="119" spans="1:52" s="40" customFormat="1" x14ac:dyDescent="0.3">
      <c r="O119" s="42"/>
    </row>
    <row r="120" spans="1:52" s="40" customFormat="1" x14ac:dyDescent="0.3">
      <c r="O120" s="42"/>
    </row>
    <row r="121" spans="1:52" s="40" customFormat="1" x14ac:dyDescent="0.3">
      <c r="O121" s="42"/>
    </row>
    <row r="122" spans="1:52" s="40" customFormat="1" x14ac:dyDescent="0.3">
      <c r="O122" s="42"/>
    </row>
    <row r="123" spans="1:52" s="40" customFormat="1" x14ac:dyDescent="0.3">
      <c r="O123" s="42"/>
    </row>
    <row r="124" spans="1:52" x14ac:dyDescent="0.3">
      <c r="AA124" s="45"/>
    </row>
    <row r="125" spans="1:52" x14ac:dyDescent="0.3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1"/>
      <c r="L125" s="40"/>
      <c r="M125" s="40"/>
      <c r="N125" s="40"/>
      <c r="O125" s="42"/>
      <c r="P125" s="40"/>
      <c r="Q125" s="50"/>
      <c r="S125" s="45"/>
      <c r="T125" s="45"/>
      <c r="U125" s="45"/>
      <c r="V125" s="45"/>
      <c r="W125" s="50"/>
      <c r="X125" s="43"/>
      <c r="AA125" s="45"/>
    </row>
    <row r="126" spans="1:52" x14ac:dyDescent="0.3">
      <c r="F126" s="46"/>
      <c r="G126" s="46"/>
      <c r="H126" s="46"/>
      <c r="Q126" s="51"/>
      <c r="S126" s="45"/>
      <c r="T126" s="45"/>
      <c r="U126" s="45"/>
      <c r="V126" s="45"/>
      <c r="W126" s="51"/>
      <c r="AA126" s="45"/>
    </row>
    <row r="127" spans="1:52" s="40" customFormat="1" x14ac:dyDescent="0.3">
      <c r="K127" s="41"/>
      <c r="O127" s="42"/>
      <c r="Q127" s="50"/>
      <c r="W127" s="50"/>
      <c r="X127" s="43"/>
      <c r="AZ127" s="43"/>
    </row>
    <row r="128" spans="1:52" x14ac:dyDescent="0.3">
      <c r="A128" s="40"/>
      <c r="C128" s="40"/>
      <c r="D128" s="40"/>
      <c r="F128" s="46"/>
      <c r="G128" s="46"/>
      <c r="H128" s="46"/>
      <c r="Q128" s="51"/>
      <c r="S128" s="45"/>
      <c r="T128" s="45"/>
      <c r="U128" s="45"/>
      <c r="V128" s="45"/>
      <c r="W128" s="51"/>
      <c r="AA128" s="45"/>
    </row>
    <row r="129" spans="6:27" x14ac:dyDescent="0.3">
      <c r="F129" s="46"/>
      <c r="G129" s="46"/>
      <c r="H129" s="46"/>
      <c r="Q129" s="51"/>
      <c r="S129" s="45"/>
      <c r="T129" s="45"/>
      <c r="U129" s="45"/>
      <c r="V129" s="45"/>
      <c r="W129" s="51"/>
      <c r="AA129" s="45"/>
    </row>
    <row r="130" spans="6:27" x14ac:dyDescent="0.3">
      <c r="F130" s="46"/>
      <c r="H130" s="46"/>
      <c r="Q130" s="51"/>
      <c r="S130" s="45"/>
      <c r="T130" s="45"/>
      <c r="U130" s="45"/>
      <c r="V130" s="45"/>
      <c r="W130" s="51"/>
      <c r="AA130" s="45"/>
    </row>
    <row r="131" spans="6:27" x14ac:dyDescent="0.3">
      <c r="F131" s="46"/>
      <c r="G131" s="46"/>
      <c r="H131" s="46"/>
      <c r="Q131" s="51"/>
      <c r="S131" s="45"/>
      <c r="T131" s="45"/>
      <c r="U131" s="45"/>
      <c r="V131" s="45"/>
      <c r="W131" s="51"/>
      <c r="AA131" s="45"/>
    </row>
    <row r="132" spans="6:27" x14ac:dyDescent="0.3">
      <c r="F132" s="46"/>
      <c r="Q132" s="51"/>
      <c r="S132" s="45"/>
      <c r="T132" s="45"/>
      <c r="U132" s="45"/>
      <c r="V132" s="45"/>
      <c r="W132" s="51"/>
      <c r="AA132" s="45"/>
    </row>
    <row r="133" spans="6:27" x14ac:dyDescent="0.3">
      <c r="Q133" s="51"/>
      <c r="S133" s="45"/>
      <c r="T133" s="45"/>
      <c r="U133" s="45"/>
      <c r="V133" s="45"/>
      <c r="W133" s="51"/>
      <c r="AA133" s="45"/>
    </row>
    <row r="134" spans="6:27" x14ac:dyDescent="0.3">
      <c r="Q134" s="51"/>
      <c r="S134" s="45"/>
      <c r="T134" s="45"/>
      <c r="U134" s="45"/>
      <c r="V134" s="45"/>
      <c r="W134" s="51"/>
      <c r="AA134" s="45"/>
    </row>
    <row r="135" spans="6:27" x14ac:dyDescent="0.3">
      <c r="Q135" s="51"/>
      <c r="S135" s="45"/>
      <c r="T135" s="45"/>
      <c r="U135" s="45"/>
      <c r="V135" s="45"/>
      <c r="W135" s="51"/>
      <c r="AA135" s="45"/>
    </row>
    <row r="136" spans="6:27" x14ac:dyDescent="0.3">
      <c r="Q136" s="51"/>
      <c r="S136" s="45"/>
      <c r="T136" s="45"/>
      <c r="U136" s="45"/>
      <c r="V136" s="45"/>
      <c r="W136" s="51"/>
      <c r="AA136" s="45"/>
    </row>
    <row r="137" spans="6:27" x14ac:dyDescent="0.3">
      <c r="Q137" s="51"/>
      <c r="S137" s="45"/>
      <c r="T137" s="45"/>
      <c r="U137" s="45"/>
      <c r="V137" s="45"/>
      <c r="W137" s="51"/>
      <c r="AA137" s="45"/>
    </row>
    <row r="138" spans="6:27" x14ac:dyDescent="0.3">
      <c r="Q138" s="51"/>
      <c r="S138" s="45"/>
      <c r="T138" s="45"/>
      <c r="U138" s="45"/>
      <c r="V138" s="45"/>
      <c r="W138" s="51"/>
      <c r="AA138" s="45"/>
    </row>
    <row r="139" spans="6:27" x14ac:dyDescent="0.3">
      <c r="Q139" s="51"/>
      <c r="S139" s="45"/>
      <c r="T139" s="45"/>
      <c r="U139" s="45"/>
      <c r="V139" s="45"/>
      <c r="W139" s="51"/>
      <c r="AA139" s="45"/>
    </row>
    <row r="140" spans="6:27" x14ac:dyDescent="0.3">
      <c r="Q140" s="51"/>
      <c r="S140" s="45"/>
      <c r="T140" s="45"/>
      <c r="U140" s="45"/>
      <c r="V140" s="45"/>
      <c r="W140" s="51"/>
      <c r="AA140" s="45"/>
    </row>
    <row r="141" spans="6:27" x14ac:dyDescent="0.3">
      <c r="Q141" s="51"/>
      <c r="S141" s="45"/>
      <c r="T141" s="45"/>
      <c r="U141" s="45"/>
      <c r="V141" s="45"/>
      <c r="W141" s="51"/>
      <c r="AA141" s="45"/>
    </row>
    <row r="142" spans="6:27" x14ac:dyDescent="0.3">
      <c r="Q142" s="51"/>
      <c r="S142" s="45"/>
      <c r="T142" s="45"/>
      <c r="U142" s="45"/>
      <c r="V142" s="45"/>
      <c r="W142" s="51"/>
      <c r="AA142" s="45"/>
    </row>
    <row r="143" spans="6:27" x14ac:dyDescent="0.3">
      <c r="Q143" s="51"/>
      <c r="S143" s="45"/>
      <c r="T143" s="45"/>
      <c r="U143" s="45"/>
      <c r="V143" s="45"/>
      <c r="W143" s="51"/>
      <c r="AA143" s="45"/>
    </row>
    <row r="144" spans="6:27" x14ac:dyDescent="0.3">
      <c r="Q144" s="51"/>
      <c r="S144" s="45"/>
      <c r="T144" s="45"/>
      <c r="U144" s="45"/>
      <c r="V144" s="45"/>
      <c r="W144" s="51"/>
      <c r="AA144" s="45"/>
    </row>
    <row r="145" spans="17:27" x14ac:dyDescent="0.3">
      <c r="Q145" s="51"/>
      <c r="S145" s="45"/>
      <c r="T145" s="45"/>
      <c r="U145" s="45"/>
      <c r="V145" s="45"/>
      <c r="W145" s="51"/>
      <c r="AA145" s="45"/>
    </row>
    <row r="146" spans="17:27" x14ac:dyDescent="0.3">
      <c r="Q146" s="51"/>
      <c r="S146" s="45"/>
      <c r="T146" s="45"/>
      <c r="U146" s="45"/>
      <c r="V146" s="45"/>
      <c r="W146" s="51"/>
      <c r="AA146" s="45"/>
    </row>
    <row r="147" spans="17:27" x14ac:dyDescent="0.3">
      <c r="Q147" s="51"/>
      <c r="S147" s="45"/>
      <c r="T147" s="45"/>
      <c r="U147" s="45"/>
      <c r="V147" s="45"/>
      <c r="W147" s="51"/>
      <c r="AA147" s="45"/>
    </row>
    <row r="148" spans="17:27" x14ac:dyDescent="0.3">
      <c r="Q148" s="51"/>
      <c r="S148" s="45"/>
      <c r="T148" s="45"/>
      <c r="U148" s="45"/>
      <c r="V148" s="45"/>
      <c r="W148" s="51"/>
      <c r="AA148" s="45"/>
    </row>
    <row r="149" spans="17:27" x14ac:dyDescent="0.3">
      <c r="Q149" s="51"/>
      <c r="S149" s="45"/>
      <c r="T149" s="45"/>
      <c r="U149" s="45"/>
      <c r="V149" s="45"/>
      <c r="W149" s="51"/>
      <c r="AA149" s="45"/>
    </row>
    <row r="150" spans="17:27" x14ac:dyDescent="0.3">
      <c r="Q150" s="51"/>
      <c r="S150" s="45"/>
      <c r="T150" s="45"/>
      <c r="U150" s="45"/>
      <c r="V150" s="45"/>
      <c r="W150" s="51"/>
      <c r="AA150" s="45"/>
    </row>
    <row r="151" spans="17:27" x14ac:dyDescent="0.3">
      <c r="Q151" s="51"/>
      <c r="S151" s="45"/>
      <c r="T151" s="45"/>
      <c r="U151" s="45"/>
      <c r="V151" s="45"/>
      <c r="W151" s="51"/>
      <c r="AA151" s="45"/>
    </row>
    <row r="152" spans="17:27" x14ac:dyDescent="0.3">
      <c r="Q152" s="51"/>
      <c r="S152" s="45"/>
      <c r="T152" s="45"/>
      <c r="U152" s="45"/>
      <c r="V152" s="45"/>
      <c r="W152" s="51"/>
      <c r="AA152" s="45"/>
    </row>
    <row r="153" spans="17:27" x14ac:dyDescent="0.3">
      <c r="Q153" s="51"/>
      <c r="S153" s="45"/>
      <c r="T153" s="45"/>
      <c r="U153" s="45"/>
      <c r="V153" s="45"/>
      <c r="W153" s="51"/>
      <c r="AA153" s="45"/>
    </row>
    <row r="154" spans="17:27" x14ac:dyDescent="0.3">
      <c r="Q154" s="51"/>
      <c r="S154" s="45"/>
      <c r="T154" s="45"/>
      <c r="U154" s="45"/>
      <c r="V154" s="45"/>
      <c r="W154" s="51"/>
      <c r="AA154" s="45"/>
    </row>
    <row r="155" spans="17:27" x14ac:dyDescent="0.3">
      <c r="Q155" s="51"/>
      <c r="S155" s="45"/>
      <c r="T155" s="45"/>
      <c r="U155" s="45"/>
      <c r="V155" s="45"/>
      <c r="W155" s="51"/>
      <c r="AA155" s="45"/>
    </row>
    <row r="156" spans="17:27" x14ac:dyDescent="0.3">
      <c r="Q156" s="51"/>
      <c r="S156" s="45"/>
      <c r="T156" s="45"/>
      <c r="U156" s="45"/>
      <c r="V156" s="45"/>
      <c r="W156" s="51"/>
      <c r="AA156" s="45"/>
    </row>
    <row r="157" spans="17:27" x14ac:dyDescent="0.3">
      <c r="Q157" s="51"/>
      <c r="S157" s="45"/>
      <c r="T157" s="45"/>
      <c r="U157" s="45"/>
      <c r="V157" s="45"/>
      <c r="W157" s="51"/>
      <c r="AA157" s="45"/>
    </row>
    <row r="158" spans="17:27" x14ac:dyDescent="0.3">
      <c r="Q158" s="51"/>
      <c r="S158" s="45"/>
      <c r="T158" s="45"/>
      <c r="U158" s="45"/>
      <c r="V158" s="45"/>
      <c r="W158" s="51"/>
      <c r="AA158" s="45"/>
    </row>
    <row r="159" spans="17:27" x14ac:dyDescent="0.3">
      <c r="Q159" s="51"/>
      <c r="S159" s="45"/>
      <c r="T159" s="45"/>
      <c r="U159" s="45"/>
      <c r="V159" s="45"/>
      <c r="W159" s="51"/>
      <c r="AA159" s="45"/>
    </row>
    <row r="160" spans="17:27" x14ac:dyDescent="0.3">
      <c r="Q160" s="51"/>
      <c r="S160" s="45"/>
      <c r="T160" s="45"/>
      <c r="U160" s="45"/>
      <c r="V160" s="45"/>
      <c r="W160" s="51"/>
      <c r="AA160" s="45"/>
    </row>
    <row r="161" spans="17:27" x14ac:dyDescent="0.3">
      <c r="Q161" s="51"/>
      <c r="S161" s="45"/>
      <c r="T161" s="45"/>
      <c r="U161" s="45"/>
      <c r="V161" s="45"/>
      <c r="W161" s="51"/>
      <c r="AA161" s="45"/>
    </row>
    <row r="162" spans="17:27" x14ac:dyDescent="0.3">
      <c r="Q162" s="51"/>
      <c r="S162" s="45"/>
      <c r="T162" s="45"/>
      <c r="U162" s="45"/>
      <c r="V162" s="45"/>
      <c r="W162" s="51"/>
      <c r="AA162" s="45"/>
    </row>
    <row r="163" spans="17:27" x14ac:dyDescent="0.3">
      <c r="Q163" s="51"/>
      <c r="S163" s="45"/>
      <c r="T163" s="45"/>
      <c r="U163" s="45"/>
      <c r="V163" s="45"/>
      <c r="W163" s="51"/>
      <c r="AA163" s="45"/>
    </row>
    <row r="164" spans="17:27" x14ac:dyDescent="0.3">
      <c r="Q164" s="51"/>
      <c r="S164" s="45"/>
      <c r="T164" s="45"/>
      <c r="U164" s="45"/>
      <c r="V164" s="45"/>
      <c r="W164" s="51"/>
      <c r="AA164" s="45"/>
    </row>
    <row r="165" spans="17:27" x14ac:dyDescent="0.3">
      <c r="Q165" s="51"/>
      <c r="S165" s="45"/>
      <c r="T165" s="45"/>
      <c r="U165" s="45"/>
      <c r="V165" s="45"/>
      <c r="W165" s="51"/>
      <c r="AA165" s="45"/>
    </row>
    <row r="166" spans="17:27" x14ac:dyDescent="0.3">
      <c r="Q166" s="51"/>
      <c r="S166" s="45"/>
      <c r="T166" s="45"/>
      <c r="U166" s="45"/>
      <c r="V166" s="45"/>
      <c r="W166" s="51"/>
      <c r="AA166" s="45"/>
    </row>
    <row r="167" spans="17:27" x14ac:dyDescent="0.3">
      <c r="Q167" s="51"/>
      <c r="S167" s="45"/>
      <c r="T167" s="45"/>
      <c r="U167" s="45"/>
      <c r="V167" s="45"/>
      <c r="W167" s="51"/>
      <c r="AA167" s="45"/>
    </row>
    <row r="168" spans="17:27" x14ac:dyDescent="0.3">
      <c r="Q168" s="51"/>
      <c r="S168" s="45"/>
      <c r="T168" s="45"/>
      <c r="U168" s="45"/>
      <c r="V168" s="45"/>
      <c r="W168" s="51"/>
      <c r="AA168" s="45"/>
    </row>
    <row r="169" spans="17:27" x14ac:dyDescent="0.3">
      <c r="Q169" s="51"/>
      <c r="S169" s="45"/>
      <c r="T169" s="45"/>
      <c r="U169" s="45"/>
      <c r="V169" s="45"/>
      <c r="W169" s="51"/>
      <c r="AA169" s="45"/>
    </row>
    <row r="170" spans="17:27" x14ac:dyDescent="0.3">
      <c r="Q170" s="51"/>
      <c r="S170" s="45"/>
      <c r="T170" s="45"/>
      <c r="U170" s="45"/>
      <c r="V170" s="45"/>
      <c r="W170" s="51"/>
      <c r="AA170" s="45"/>
    </row>
    <row r="171" spans="17:27" x14ac:dyDescent="0.3">
      <c r="Q171" s="51"/>
      <c r="S171" s="45"/>
      <c r="T171" s="45"/>
      <c r="U171" s="45"/>
      <c r="V171" s="45"/>
      <c r="W171" s="51"/>
      <c r="AA171" s="45"/>
    </row>
    <row r="172" spans="17:27" x14ac:dyDescent="0.3">
      <c r="Q172" s="51"/>
      <c r="S172" s="45"/>
      <c r="T172" s="45"/>
      <c r="U172" s="45"/>
      <c r="V172" s="45"/>
      <c r="W172" s="51"/>
      <c r="AA172" s="45"/>
    </row>
    <row r="173" spans="17:27" x14ac:dyDescent="0.3">
      <c r="Q173" s="51"/>
      <c r="S173" s="45"/>
      <c r="T173" s="45"/>
      <c r="U173" s="45"/>
      <c r="V173" s="45"/>
      <c r="W173" s="51"/>
      <c r="AA173" s="45"/>
    </row>
    <row r="174" spans="17:27" x14ac:dyDescent="0.3">
      <c r="Q174" s="51"/>
      <c r="S174" s="45"/>
      <c r="T174" s="45"/>
      <c r="U174" s="45"/>
      <c r="V174" s="45"/>
      <c r="W174" s="51"/>
      <c r="AA174" s="45"/>
    </row>
    <row r="175" spans="17:27" x14ac:dyDescent="0.3">
      <c r="Q175" s="51"/>
      <c r="S175" s="45"/>
      <c r="T175" s="45"/>
      <c r="U175" s="45"/>
      <c r="V175" s="45"/>
      <c r="W175" s="51"/>
      <c r="AA175" s="45"/>
    </row>
    <row r="176" spans="17:27" x14ac:dyDescent="0.3">
      <c r="Q176" s="51"/>
      <c r="S176" s="45"/>
      <c r="T176" s="45"/>
      <c r="U176" s="45"/>
      <c r="V176" s="45"/>
      <c r="W176" s="51"/>
      <c r="AA176" s="45"/>
    </row>
    <row r="177" spans="17:27" x14ac:dyDescent="0.3">
      <c r="Q177" s="51"/>
      <c r="S177" s="45"/>
      <c r="T177" s="45"/>
      <c r="U177" s="45"/>
      <c r="V177" s="45"/>
      <c r="W177" s="51"/>
      <c r="AA177" s="45"/>
    </row>
    <row r="178" spans="17:27" x14ac:dyDescent="0.3">
      <c r="Q178" s="51"/>
      <c r="S178" s="45"/>
      <c r="T178" s="45"/>
      <c r="U178" s="45"/>
      <c r="V178" s="45"/>
      <c r="W178" s="51"/>
      <c r="AA178" s="45"/>
    </row>
    <row r="179" spans="17:27" x14ac:dyDescent="0.3">
      <c r="Q179" s="51"/>
      <c r="S179" s="45"/>
      <c r="T179" s="45"/>
      <c r="U179" s="45"/>
      <c r="V179" s="45"/>
      <c r="W179" s="51"/>
      <c r="AA179" s="45"/>
    </row>
    <row r="180" spans="17:27" x14ac:dyDescent="0.3">
      <c r="Q180" s="51"/>
      <c r="S180" s="45"/>
      <c r="T180" s="45"/>
      <c r="U180" s="45"/>
      <c r="V180" s="45"/>
      <c r="W180" s="51"/>
      <c r="AA180" s="45"/>
    </row>
    <row r="181" spans="17:27" x14ac:dyDescent="0.3">
      <c r="Q181" s="51"/>
      <c r="S181" s="45"/>
      <c r="T181" s="45"/>
      <c r="U181" s="45"/>
      <c r="V181" s="45"/>
      <c r="W181" s="51"/>
      <c r="AA181" s="45"/>
    </row>
    <row r="182" spans="17:27" x14ac:dyDescent="0.3">
      <c r="Q182" s="51"/>
      <c r="S182" s="45"/>
      <c r="T182" s="45"/>
      <c r="U182" s="45"/>
      <c r="V182" s="45"/>
      <c r="W182" s="51"/>
      <c r="AA182" s="45"/>
    </row>
    <row r="183" spans="17:27" x14ac:dyDescent="0.3">
      <c r="Q183" s="51"/>
      <c r="S183" s="45"/>
      <c r="T183" s="45"/>
      <c r="U183" s="45"/>
      <c r="V183" s="45"/>
      <c r="W183" s="51"/>
      <c r="AA183" s="45"/>
    </row>
    <row r="184" spans="17:27" x14ac:dyDescent="0.3">
      <c r="Q184" s="51"/>
      <c r="S184" s="45"/>
      <c r="T184" s="45"/>
      <c r="U184" s="45"/>
      <c r="V184" s="45"/>
      <c r="W184" s="51"/>
      <c r="AA184" s="45"/>
    </row>
    <row r="185" spans="17:27" x14ac:dyDescent="0.3">
      <c r="Q185" s="51"/>
      <c r="S185" s="45"/>
      <c r="T185" s="45"/>
      <c r="U185" s="45"/>
      <c r="V185" s="45"/>
      <c r="W185" s="51"/>
      <c r="AA185" s="45"/>
    </row>
    <row r="186" spans="17:27" x14ac:dyDescent="0.3">
      <c r="Q186" s="51"/>
      <c r="S186" s="45"/>
      <c r="T186" s="45"/>
      <c r="U186" s="45"/>
      <c r="V186" s="45"/>
      <c r="W186" s="51"/>
      <c r="AA186" s="45"/>
    </row>
    <row r="187" spans="17:27" x14ac:dyDescent="0.3">
      <c r="Q187" s="51"/>
      <c r="S187" s="45"/>
      <c r="T187" s="45"/>
      <c r="U187" s="45"/>
      <c r="V187" s="45"/>
      <c r="W187" s="51"/>
      <c r="AA187" s="45"/>
    </row>
    <row r="188" spans="17:27" x14ac:dyDescent="0.3">
      <c r="Q188" s="51"/>
      <c r="S188" s="45"/>
      <c r="T188" s="45"/>
      <c r="U188" s="45"/>
      <c r="V188" s="45"/>
      <c r="W188" s="51"/>
      <c r="AA188" s="45"/>
    </row>
    <row r="189" spans="17:27" x14ac:dyDescent="0.3">
      <c r="Q189" s="51"/>
      <c r="S189" s="45"/>
      <c r="T189" s="45"/>
      <c r="U189" s="45"/>
      <c r="V189" s="45"/>
      <c r="W189" s="51"/>
      <c r="AA189" s="45"/>
    </row>
    <row r="190" spans="17:27" x14ac:dyDescent="0.3">
      <c r="Q190" s="51"/>
      <c r="S190" s="45"/>
      <c r="T190" s="45"/>
      <c r="U190" s="45"/>
      <c r="V190" s="45"/>
      <c r="W190" s="51"/>
      <c r="AA190" s="45"/>
    </row>
    <row r="191" spans="17:27" x14ac:dyDescent="0.3">
      <c r="Q191" s="51"/>
      <c r="S191" s="45"/>
      <c r="T191" s="45"/>
      <c r="U191" s="45"/>
      <c r="V191" s="45"/>
      <c r="W191" s="51"/>
      <c r="AA191" s="45"/>
    </row>
    <row r="192" spans="17:27" x14ac:dyDescent="0.3">
      <c r="Q192" s="51"/>
      <c r="S192" s="45"/>
      <c r="T192" s="45"/>
      <c r="U192" s="45"/>
      <c r="V192" s="45"/>
      <c r="W192" s="51"/>
      <c r="AA192" s="45"/>
    </row>
    <row r="193" spans="17:27" x14ac:dyDescent="0.3">
      <c r="Q193" s="51"/>
      <c r="S193" s="45"/>
      <c r="T193" s="45"/>
      <c r="U193" s="45"/>
      <c r="V193" s="45"/>
      <c r="W193" s="51"/>
      <c r="AA193" s="45"/>
    </row>
    <row r="194" spans="17:27" x14ac:dyDescent="0.3">
      <c r="Q194" s="51"/>
      <c r="S194" s="45"/>
      <c r="T194" s="45"/>
      <c r="U194" s="45"/>
      <c r="V194" s="45"/>
      <c r="W194" s="51"/>
      <c r="AA194" s="45"/>
    </row>
    <row r="195" spans="17:27" x14ac:dyDescent="0.3">
      <c r="Q195" s="51"/>
      <c r="S195" s="45"/>
      <c r="T195" s="45"/>
      <c r="U195" s="45"/>
      <c r="V195" s="45"/>
      <c r="W195" s="51"/>
      <c r="AA195" s="45"/>
    </row>
    <row r="196" spans="17:27" x14ac:dyDescent="0.3">
      <c r="Q196" s="51"/>
      <c r="S196" s="45"/>
      <c r="T196" s="45"/>
      <c r="U196" s="45"/>
      <c r="V196" s="45"/>
      <c r="W196" s="51"/>
      <c r="AA196" s="45"/>
    </row>
    <row r="197" spans="17:27" x14ac:dyDescent="0.3">
      <c r="Q197" s="51"/>
      <c r="S197" s="45"/>
      <c r="T197" s="45"/>
      <c r="U197" s="45"/>
      <c r="V197" s="45"/>
      <c r="W197" s="51"/>
      <c r="AA197" s="45"/>
    </row>
    <row r="198" spans="17:27" x14ac:dyDescent="0.3">
      <c r="Q198" s="51"/>
      <c r="S198" s="45"/>
      <c r="T198" s="45"/>
      <c r="U198" s="45"/>
      <c r="V198" s="45"/>
      <c r="W198" s="51"/>
      <c r="AA198" s="45"/>
    </row>
    <row r="199" spans="17:27" x14ac:dyDescent="0.3">
      <c r="Q199" s="51"/>
      <c r="S199" s="45"/>
      <c r="T199" s="45"/>
      <c r="U199" s="45"/>
      <c r="V199" s="45"/>
      <c r="W199" s="51"/>
      <c r="AA199" s="45"/>
    </row>
    <row r="200" spans="17:27" x14ac:dyDescent="0.3">
      <c r="Q200" s="51"/>
      <c r="S200" s="45"/>
      <c r="T200" s="45"/>
      <c r="U200" s="45"/>
      <c r="V200" s="45"/>
      <c r="W200" s="51"/>
      <c r="AA200" s="45"/>
    </row>
    <row r="201" spans="17:27" x14ac:dyDescent="0.3">
      <c r="Q201" s="51"/>
      <c r="S201" s="45"/>
      <c r="T201" s="45"/>
      <c r="U201" s="45"/>
      <c r="V201" s="45"/>
      <c r="W201" s="51"/>
      <c r="AA201" s="45"/>
    </row>
    <row r="202" spans="17:27" x14ac:dyDescent="0.3">
      <c r="Q202" s="51"/>
      <c r="S202" s="45"/>
      <c r="T202" s="45"/>
      <c r="U202" s="45"/>
      <c r="V202" s="45"/>
      <c r="W202" s="51"/>
      <c r="AA202" s="45"/>
    </row>
    <row r="203" spans="17:27" x14ac:dyDescent="0.3">
      <c r="Q203" s="51"/>
      <c r="S203" s="45"/>
      <c r="T203" s="45"/>
      <c r="U203" s="45"/>
      <c r="V203" s="45"/>
      <c r="W203" s="51"/>
      <c r="AA203" s="45"/>
    </row>
    <row r="204" spans="17:27" x14ac:dyDescent="0.3">
      <c r="Q204" s="51"/>
      <c r="S204" s="45"/>
      <c r="T204" s="45"/>
      <c r="U204" s="45"/>
      <c r="V204" s="45"/>
      <c r="W204" s="51"/>
      <c r="AA204" s="45"/>
    </row>
    <row r="205" spans="17:27" x14ac:dyDescent="0.3">
      <c r="Q205" s="51"/>
      <c r="S205" s="45"/>
      <c r="T205" s="45"/>
      <c r="U205" s="45"/>
      <c r="V205" s="45"/>
      <c r="W205" s="51"/>
      <c r="AA205" s="45"/>
    </row>
    <row r="206" spans="17:27" x14ac:dyDescent="0.3">
      <c r="Q206" s="51"/>
      <c r="S206" s="45"/>
      <c r="T206" s="45"/>
      <c r="U206" s="45"/>
      <c r="V206" s="45"/>
      <c r="W206" s="51"/>
      <c r="AA206" s="45"/>
    </row>
    <row r="207" spans="17:27" x14ac:dyDescent="0.3">
      <c r="Q207" s="51"/>
      <c r="S207" s="45"/>
      <c r="T207" s="45"/>
      <c r="U207" s="45"/>
      <c r="V207" s="45"/>
      <c r="W207" s="51"/>
      <c r="AA207" s="45"/>
    </row>
    <row r="208" spans="17:27" x14ac:dyDescent="0.3">
      <c r="Q208" s="51"/>
      <c r="S208" s="45"/>
      <c r="T208" s="45"/>
      <c r="U208" s="45"/>
      <c r="V208" s="45"/>
      <c r="W208" s="51"/>
      <c r="AA208" s="45"/>
    </row>
    <row r="209" spans="17:27" x14ac:dyDescent="0.3">
      <c r="Q209" s="51"/>
      <c r="S209" s="45"/>
      <c r="T209" s="45"/>
      <c r="U209" s="45"/>
      <c r="V209" s="45"/>
      <c r="W209" s="51"/>
      <c r="AA209" s="45"/>
    </row>
    <row r="210" spans="17:27" x14ac:dyDescent="0.3">
      <c r="Q210" s="51"/>
      <c r="S210" s="45"/>
      <c r="T210" s="45"/>
      <c r="U210" s="45"/>
      <c r="V210" s="45"/>
      <c r="W210" s="51"/>
      <c r="AA210" s="45"/>
    </row>
    <row r="211" spans="17:27" x14ac:dyDescent="0.3">
      <c r="Q211" s="51"/>
      <c r="S211" s="45"/>
      <c r="T211" s="45"/>
      <c r="U211" s="45"/>
      <c r="V211" s="45"/>
      <c r="W211" s="51"/>
      <c r="AA211" s="45"/>
    </row>
    <row r="212" spans="17:27" x14ac:dyDescent="0.3">
      <c r="Q212" s="51"/>
      <c r="S212" s="45"/>
      <c r="T212" s="45"/>
      <c r="U212" s="45"/>
      <c r="V212" s="45"/>
      <c r="W212" s="51"/>
      <c r="AA212" s="45"/>
    </row>
    <row r="213" spans="17:27" x14ac:dyDescent="0.3">
      <c r="Q213" s="51"/>
      <c r="S213" s="45"/>
      <c r="T213" s="45"/>
      <c r="U213" s="45"/>
      <c r="V213" s="45"/>
      <c r="W213" s="51"/>
      <c r="AA213" s="45"/>
    </row>
    <row r="214" spans="17:27" x14ac:dyDescent="0.3">
      <c r="Q214" s="51"/>
      <c r="S214" s="45"/>
      <c r="T214" s="45"/>
      <c r="U214" s="45"/>
      <c r="V214" s="45"/>
      <c r="W214" s="51"/>
      <c r="AA214" s="45"/>
    </row>
    <row r="215" spans="17:27" x14ac:dyDescent="0.3">
      <c r="Q215" s="51"/>
      <c r="S215" s="45"/>
      <c r="T215" s="45"/>
      <c r="U215" s="45"/>
      <c r="V215" s="45"/>
      <c r="W215" s="51"/>
      <c r="AA215" s="45"/>
    </row>
    <row r="216" spans="17:27" x14ac:dyDescent="0.3">
      <c r="Q216" s="51"/>
      <c r="S216" s="45"/>
      <c r="T216" s="45"/>
      <c r="U216" s="45"/>
      <c r="V216" s="45"/>
      <c r="W216" s="51"/>
      <c r="AA216" s="45"/>
    </row>
    <row r="217" spans="17:27" x14ac:dyDescent="0.3">
      <c r="Q217" s="51"/>
      <c r="S217" s="45"/>
      <c r="T217" s="45"/>
      <c r="U217" s="45"/>
      <c r="V217" s="45"/>
      <c r="W217" s="51"/>
      <c r="AA217" s="45"/>
    </row>
    <row r="218" spans="17:27" x14ac:dyDescent="0.3">
      <c r="Q218" s="51"/>
      <c r="S218" s="45"/>
      <c r="T218" s="45"/>
      <c r="U218" s="45"/>
      <c r="V218" s="45"/>
      <c r="W218" s="51"/>
      <c r="AA218" s="45"/>
    </row>
    <row r="219" spans="17:27" x14ac:dyDescent="0.3">
      <c r="Q219" s="51"/>
      <c r="S219" s="45"/>
      <c r="T219" s="45"/>
      <c r="U219" s="45"/>
      <c r="V219" s="45"/>
      <c r="W219" s="51"/>
      <c r="AA219" s="45"/>
    </row>
    <row r="220" spans="17:27" x14ac:dyDescent="0.3">
      <c r="Q220" s="51"/>
      <c r="S220" s="45"/>
      <c r="T220" s="45"/>
      <c r="U220" s="45"/>
      <c r="V220" s="45"/>
      <c r="W220" s="51"/>
      <c r="AA220" s="45"/>
    </row>
    <row r="221" spans="17:27" x14ac:dyDescent="0.3">
      <c r="Q221" s="51"/>
      <c r="S221" s="45"/>
      <c r="T221" s="45"/>
      <c r="U221" s="45"/>
      <c r="V221" s="45"/>
      <c r="W221" s="51"/>
      <c r="AA221" s="45"/>
    </row>
    <row r="222" spans="17:27" x14ac:dyDescent="0.3">
      <c r="Q222" s="51"/>
      <c r="S222" s="45"/>
      <c r="T222" s="45"/>
      <c r="U222" s="45"/>
      <c r="V222" s="45"/>
      <c r="W222" s="51"/>
      <c r="AA222" s="45"/>
    </row>
    <row r="223" spans="17:27" x14ac:dyDescent="0.3">
      <c r="Q223" s="51"/>
      <c r="S223" s="45"/>
      <c r="T223" s="45"/>
      <c r="U223" s="45"/>
      <c r="V223" s="45"/>
      <c r="W223" s="51"/>
      <c r="AA223" s="45"/>
    </row>
    <row r="224" spans="17:27" x14ac:dyDescent="0.3">
      <c r="Q224" s="51"/>
      <c r="S224" s="45"/>
      <c r="T224" s="45"/>
      <c r="U224" s="45"/>
      <c r="V224" s="45"/>
      <c r="W224" s="51"/>
      <c r="AA224" s="45"/>
    </row>
    <row r="225" spans="17:27" x14ac:dyDescent="0.3">
      <c r="Q225" s="51"/>
      <c r="S225" s="45"/>
      <c r="T225" s="45"/>
      <c r="U225" s="45"/>
      <c r="V225" s="45"/>
      <c r="W225" s="51"/>
      <c r="AA225" s="45"/>
    </row>
    <row r="226" spans="17:27" x14ac:dyDescent="0.3">
      <c r="Q226" s="51"/>
      <c r="S226" s="45"/>
      <c r="T226" s="45"/>
      <c r="U226" s="45"/>
      <c r="V226" s="45"/>
      <c r="W226" s="51"/>
      <c r="AA226" s="45"/>
    </row>
    <row r="227" spans="17:27" x14ac:dyDescent="0.3">
      <c r="Q227" s="51"/>
      <c r="S227" s="45"/>
      <c r="T227" s="45"/>
      <c r="U227" s="45"/>
      <c r="V227" s="45"/>
      <c r="W227" s="51"/>
      <c r="AA227" s="45"/>
    </row>
    <row r="228" spans="17:27" x14ac:dyDescent="0.3">
      <c r="Q228" s="51"/>
      <c r="S228" s="45"/>
      <c r="T228" s="45"/>
      <c r="U228" s="45"/>
      <c r="V228" s="45"/>
      <c r="W228" s="51"/>
      <c r="AA228" s="45"/>
    </row>
    <row r="229" spans="17:27" x14ac:dyDescent="0.3">
      <c r="Q229" s="51"/>
      <c r="S229" s="45"/>
      <c r="T229" s="45"/>
      <c r="U229" s="45"/>
      <c r="V229" s="45"/>
      <c r="W229" s="51"/>
      <c r="AA229" s="45"/>
    </row>
    <row r="230" spans="17:27" x14ac:dyDescent="0.3">
      <c r="Q230" s="51"/>
      <c r="S230" s="45"/>
      <c r="T230" s="45"/>
      <c r="U230" s="45"/>
      <c r="V230" s="45"/>
      <c r="W230" s="51"/>
      <c r="AA230" s="45"/>
    </row>
    <row r="231" spans="17:27" x14ac:dyDescent="0.3">
      <c r="Q231" s="51"/>
      <c r="S231" s="45"/>
      <c r="T231" s="45"/>
      <c r="U231" s="45"/>
      <c r="V231" s="45"/>
      <c r="W231" s="51"/>
      <c r="AA231" s="45"/>
    </row>
    <row r="232" spans="17:27" x14ac:dyDescent="0.3">
      <c r="Q232" s="51"/>
      <c r="S232" s="45"/>
      <c r="T232" s="45"/>
      <c r="U232" s="45"/>
      <c r="V232" s="45"/>
      <c r="W232" s="51"/>
      <c r="AA232" s="45"/>
    </row>
    <row r="233" spans="17:27" x14ac:dyDescent="0.3">
      <c r="Q233" s="51"/>
      <c r="S233" s="45"/>
      <c r="T233" s="45"/>
      <c r="U233" s="45"/>
      <c r="V233" s="45"/>
      <c r="W233" s="51"/>
      <c r="AA233" s="45"/>
    </row>
    <row r="234" spans="17:27" x14ac:dyDescent="0.3">
      <c r="Q234" s="51"/>
      <c r="S234" s="45"/>
      <c r="T234" s="45"/>
      <c r="U234" s="45"/>
      <c r="V234" s="45"/>
      <c r="W234" s="51"/>
      <c r="AA234" s="45"/>
    </row>
    <row r="235" spans="17:27" x14ac:dyDescent="0.3">
      <c r="Q235" s="51"/>
      <c r="S235" s="45"/>
      <c r="T235" s="45"/>
      <c r="U235" s="45"/>
      <c r="V235" s="45"/>
      <c r="W235" s="51"/>
      <c r="AA235" s="45"/>
    </row>
    <row r="236" spans="17:27" x14ac:dyDescent="0.3">
      <c r="Q236" s="51"/>
      <c r="S236" s="45"/>
      <c r="T236" s="45"/>
      <c r="U236" s="45"/>
      <c r="V236" s="45"/>
      <c r="W236" s="51"/>
      <c r="AA236" s="45"/>
    </row>
    <row r="237" spans="17:27" x14ac:dyDescent="0.3">
      <c r="Q237" s="51"/>
      <c r="S237" s="45"/>
      <c r="T237" s="45"/>
      <c r="U237" s="45"/>
      <c r="V237" s="45"/>
      <c r="W237" s="51"/>
      <c r="AA237" s="45"/>
    </row>
    <row r="238" spans="17:27" x14ac:dyDescent="0.3">
      <c r="Q238" s="51"/>
      <c r="S238" s="45"/>
      <c r="T238" s="45"/>
      <c r="U238" s="45"/>
      <c r="V238" s="45"/>
      <c r="W238" s="51"/>
      <c r="AA238" s="45"/>
    </row>
    <row r="239" spans="17:27" x14ac:dyDescent="0.3">
      <c r="Q239" s="51"/>
      <c r="S239" s="45"/>
      <c r="T239" s="45"/>
      <c r="U239" s="45"/>
      <c r="V239" s="45"/>
      <c r="W239" s="51"/>
      <c r="AA239" s="45"/>
    </row>
    <row r="240" spans="17:27" x14ac:dyDescent="0.3">
      <c r="Q240" s="51"/>
      <c r="S240" s="45"/>
      <c r="T240" s="45"/>
      <c r="U240" s="45"/>
      <c r="V240" s="45"/>
      <c r="W240" s="51"/>
      <c r="AA240" s="45"/>
    </row>
    <row r="241" spans="17:27" x14ac:dyDescent="0.3">
      <c r="Q241" s="51"/>
      <c r="S241" s="45"/>
      <c r="T241" s="45"/>
      <c r="U241" s="45"/>
      <c r="V241" s="45"/>
      <c r="W241" s="51"/>
      <c r="AA241" s="45"/>
    </row>
    <row r="242" spans="17:27" x14ac:dyDescent="0.3">
      <c r="Q242" s="51"/>
      <c r="S242" s="45"/>
      <c r="T242" s="45"/>
      <c r="U242" s="45"/>
      <c r="V242" s="45"/>
      <c r="W242" s="51"/>
      <c r="AA242" s="45"/>
    </row>
    <row r="243" spans="17:27" x14ac:dyDescent="0.3">
      <c r="Q243" s="51"/>
      <c r="S243" s="45"/>
      <c r="T243" s="45"/>
      <c r="U243" s="45"/>
      <c r="V243" s="45"/>
      <c r="W243" s="51"/>
      <c r="AA243" s="45"/>
    </row>
    <row r="244" spans="17:27" x14ac:dyDescent="0.3">
      <c r="Q244" s="51"/>
      <c r="S244" s="45"/>
      <c r="T244" s="45"/>
      <c r="U244" s="45"/>
      <c r="V244" s="45"/>
      <c r="W244" s="51"/>
      <c r="AA244" s="45"/>
    </row>
    <row r="245" spans="17:27" x14ac:dyDescent="0.3">
      <c r="Q245" s="51"/>
      <c r="S245" s="45"/>
      <c r="T245" s="45"/>
      <c r="U245" s="45"/>
      <c r="V245" s="45"/>
      <c r="W245" s="51"/>
      <c r="AA245" s="45"/>
    </row>
    <row r="246" spans="17:27" x14ac:dyDescent="0.3">
      <c r="Q246" s="51"/>
      <c r="S246" s="45"/>
      <c r="T246" s="45"/>
      <c r="U246" s="45"/>
      <c r="V246" s="45"/>
      <c r="W246" s="51"/>
      <c r="AA246" s="45"/>
    </row>
    <row r="247" spans="17:27" x14ac:dyDescent="0.3">
      <c r="Q247" s="51"/>
      <c r="S247" s="45"/>
      <c r="T247" s="45"/>
      <c r="U247" s="45"/>
      <c r="V247" s="45"/>
      <c r="W247" s="51"/>
      <c r="AA247" s="45"/>
    </row>
    <row r="248" spans="17:27" x14ac:dyDescent="0.3">
      <c r="Q248" s="51"/>
      <c r="S248" s="45"/>
      <c r="T248" s="45"/>
      <c r="U248" s="45"/>
      <c r="V248" s="45"/>
      <c r="W248" s="51"/>
      <c r="AA248" s="45"/>
    </row>
    <row r="249" spans="17:27" x14ac:dyDescent="0.3">
      <c r="Q249" s="51"/>
      <c r="S249" s="45"/>
      <c r="T249" s="45"/>
      <c r="U249" s="45"/>
      <c r="V249" s="45"/>
      <c r="W249" s="51"/>
      <c r="AA249" s="45"/>
    </row>
    <row r="250" spans="17:27" x14ac:dyDescent="0.3">
      <c r="Q250" s="51"/>
      <c r="S250" s="45"/>
      <c r="T250" s="45"/>
      <c r="U250" s="45"/>
      <c r="V250" s="45"/>
      <c r="W250" s="51"/>
      <c r="AA250" s="45"/>
    </row>
    <row r="251" spans="17:27" x14ac:dyDescent="0.3">
      <c r="Q251" s="51"/>
      <c r="S251" s="45"/>
      <c r="T251" s="45"/>
      <c r="U251" s="45"/>
      <c r="V251" s="45"/>
      <c r="W251" s="51"/>
      <c r="AA251" s="45"/>
    </row>
    <row r="252" spans="17:27" x14ac:dyDescent="0.3">
      <c r="Q252" s="51"/>
      <c r="S252" s="45"/>
      <c r="T252" s="45"/>
      <c r="U252" s="45"/>
      <c r="V252" s="45"/>
      <c r="W252" s="51"/>
      <c r="AA252" s="45"/>
    </row>
    <row r="253" spans="17:27" x14ac:dyDescent="0.3">
      <c r="Q253" s="51"/>
      <c r="S253" s="45"/>
      <c r="T253" s="45"/>
      <c r="U253" s="45"/>
      <c r="V253" s="45"/>
      <c r="W253" s="51"/>
      <c r="AA253" s="45"/>
    </row>
    <row r="254" spans="17:27" x14ac:dyDescent="0.3">
      <c r="Q254" s="51"/>
      <c r="S254" s="45"/>
      <c r="T254" s="45"/>
      <c r="U254" s="45"/>
      <c r="V254" s="45"/>
      <c r="W254" s="51"/>
      <c r="AA254" s="45"/>
    </row>
    <row r="255" spans="17:27" x14ac:dyDescent="0.3">
      <c r="Q255" s="51"/>
      <c r="S255" s="45"/>
      <c r="T255" s="45"/>
      <c r="U255" s="45"/>
      <c r="V255" s="45"/>
      <c r="W255" s="51"/>
      <c r="AA255" s="45"/>
    </row>
    <row r="256" spans="17:27" x14ac:dyDescent="0.3">
      <c r="Q256" s="51"/>
      <c r="S256" s="45"/>
      <c r="T256" s="45"/>
      <c r="U256" s="45"/>
      <c r="V256" s="45"/>
      <c r="W256" s="51"/>
      <c r="AA256" s="45"/>
    </row>
    <row r="257" spans="17:27" x14ac:dyDescent="0.3">
      <c r="Q257" s="51"/>
      <c r="S257" s="45"/>
      <c r="T257" s="45"/>
      <c r="U257" s="45"/>
      <c r="V257" s="45"/>
      <c r="W257" s="51"/>
      <c r="AA257" s="45"/>
    </row>
    <row r="258" spans="17:27" x14ac:dyDescent="0.3">
      <c r="Q258" s="51"/>
      <c r="S258" s="45"/>
      <c r="T258" s="45"/>
      <c r="U258" s="45"/>
      <c r="V258" s="45"/>
      <c r="W258" s="51"/>
      <c r="AA258" s="45"/>
    </row>
    <row r="259" spans="17:27" x14ac:dyDescent="0.3">
      <c r="Q259" s="51"/>
      <c r="S259" s="45"/>
      <c r="T259" s="45"/>
      <c r="U259" s="45"/>
      <c r="V259" s="45"/>
      <c r="W259" s="51"/>
      <c r="AA259" s="45"/>
    </row>
    <row r="260" spans="17:27" x14ac:dyDescent="0.3">
      <c r="Q260" s="51"/>
      <c r="S260" s="45"/>
      <c r="T260" s="45"/>
      <c r="U260" s="45"/>
      <c r="V260" s="45"/>
      <c r="W260" s="51"/>
      <c r="AA260" s="45"/>
    </row>
    <row r="261" spans="17:27" x14ac:dyDescent="0.3">
      <c r="Q261" s="51"/>
      <c r="S261" s="45"/>
      <c r="T261" s="45"/>
      <c r="U261" s="45"/>
      <c r="V261" s="45"/>
      <c r="W261" s="51"/>
      <c r="AA261" s="45"/>
    </row>
    <row r="262" spans="17:27" x14ac:dyDescent="0.3">
      <c r="Q262" s="51"/>
      <c r="S262" s="45"/>
      <c r="T262" s="45"/>
      <c r="U262" s="45"/>
      <c r="V262" s="45"/>
      <c r="W262" s="51"/>
      <c r="AA262" s="45"/>
    </row>
    <row r="263" spans="17:27" x14ac:dyDescent="0.3">
      <c r="Q263" s="51"/>
      <c r="S263" s="45"/>
      <c r="T263" s="45"/>
      <c r="U263" s="45"/>
      <c r="V263" s="45"/>
      <c r="W263" s="51"/>
      <c r="AA263" s="45"/>
    </row>
    <row r="264" spans="17:27" x14ac:dyDescent="0.3">
      <c r="Q264" s="51"/>
      <c r="S264" s="45"/>
      <c r="T264" s="45"/>
      <c r="U264" s="45"/>
      <c r="V264" s="45"/>
      <c r="W264" s="51"/>
      <c r="AA264" s="45"/>
    </row>
    <row r="265" spans="17:27" x14ac:dyDescent="0.3">
      <c r="Q265" s="51"/>
      <c r="S265" s="45"/>
      <c r="T265" s="45"/>
      <c r="U265" s="45"/>
      <c r="V265" s="45"/>
      <c r="W265" s="51"/>
      <c r="AA265" s="45"/>
    </row>
    <row r="266" spans="17:27" x14ac:dyDescent="0.3">
      <c r="Q266" s="51"/>
      <c r="S266" s="45"/>
      <c r="T266" s="45"/>
      <c r="U266" s="45"/>
      <c r="V266" s="45"/>
      <c r="W266" s="51"/>
      <c r="AA266" s="45"/>
    </row>
    <row r="267" spans="17:27" x14ac:dyDescent="0.3">
      <c r="Q267" s="51"/>
      <c r="S267" s="45"/>
      <c r="T267" s="45"/>
      <c r="U267" s="45"/>
      <c r="V267" s="45"/>
      <c r="W267" s="51"/>
      <c r="AA267" s="45"/>
    </row>
    <row r="268" spans="17:27" x14ac:dyDescent="0.3">
      <c r="Q268" s="51"/>
      <c r="S268" s="45"/>
      <c r="T268" s="45"/>
      <c r="U268" s="45"/>
      <c r="V268" s="45"/>
      <c r="W268" s="51"/>
      <c r="AA268" s="45"/>
    </row>
    <row r="269" spans="17:27" x14ac:dyDescent="0.3">
      <c r="Q269" s="51"/>
      <c r="S269" s="45"/>
      <c r="T269" s="45"/>
      <c r="U269" s="45"/>
      <c r="V269" s="45"/>
      <c r="W269" s="51"/>
      <c r="AA269" s="45"/>
    </row>
    <row r="270" spans="17:27" x14ac:dyDescent="0.3">
      <c r="Q270" s="51"/>
      <c r="S270" s="45"/>
      <c r="T270" s="45"/>
      <c r="U270" s="45"/>
      <c r="V270" s="45"/>
      <c r="W270" s="51"/>
      <c r="AA270" s="45"/>
    </row>
    <row r="271" spans="17:27" x14ac:dyDescent="0.3">
      <c r="Q271" s="51"/>
      <c r="S271" s="45"/>
      <c r="T271" s="45"/>
      <c r="U271" s="45"/>
      <c r="V271" s="45"/>
      <c r="W271" s="51"/>
      <c r="AA271" s="45"/>
    </row>
    <row r="272" spans="17:27" x14ac:dyDescent="0.3">
      <c r="Q272" s="51"/>
      <c r="S272" s="45"/>
      <c r="T272" s="45"/>
      <c r="U272" s="45"/>
      <c r="V272" s="45"/>
      <c r="W272" s="51"/>
      <c r="AA272" s="45"/>
    </row>
    <row r="273" spans="17:27" x14ac:dyDescent="0.3">
      <c r="Q273" s="51"/>
      <c r="S273" s="45"/>
      <c r="T273" s="45"/>
      <c r="U273" s="45"/>
      <c r="V273" s="45"/>
      <c r="W273" s="51"/>
      <c r="AA273" s="45"/>
    </row>
    <row r="274" spans="17:27" x14ac:dyDescent="0.3">
      <c r="Q274" s="51"/>
      <c r="S274" s="45"/>
      <c r="T274" s="45"/>
      <c r="U274" s="45"/>
      <c r="V274" s="45"/>
      <c r="W274" s="51"/>
      <c r="AA274" s="45"/>
    </row>
    <row r="275" spans="17:27" x14ac:dyDescent="0.3">
      <c r="Q275" s="51"/>
      <c r="S275" s="45"/>
      <c r="T275" s="45"/>
      <c r="U275" s="45"/>
      <c r="V275" s="45"/>
      <c r="W275" s="51"/>
      <c r="AA275" s="45"/>
    </row>
    <row r="276" spans="17:27" x14ac:dyDescent="0.3">
      <c r="Q276" s="51"/>
      <c r="S276" s="45"/>
      <c r="T276" s="45"/>
      <c r="U276" s="45"/>
      <c r="V276" s="45"/>
      <c r="W276" s="51"/>
      <c r="AA276" s="45"/>
    </row>
    <row r="277" spans="17:27" x14ac:dyDescent="0.3">
      <c r="Q277" s="51"/>
      <c r="S277" s="45"/>
      <c r="T277" s="45"/>
      <c r="U277" s="45"/>
      <c r="V277" s="45"/>
      <c r="W277" s="51"/>
      <c r="AA277" s="45"/>
    </row>
    <row r="278" spans="17:27" x14ac:dyDescent="0.3">
      <c r="Q278" s="51"/>
      <c r="S278" s="45"/>
      <c r="T278" s="45"/>
      <c r="U278" s="45"/>
      <c r="V278" s="45"/>
      <c r="W278" s="51"/>
      <c r="AA278" s="45"/>
    </row>
    <row r="279" spans="17:27" x14ac:dyDescent="0.3">
      <c r="Q279" s="51"/>
      <c r="S279" s="45"/>
      <c r="T279" s="45"/>
      <c r="U279" s="45"/>
      <c r="V279" s="45"/>
      <c r="W279" s="51"/>
      <c r="AA279" s="45"/>
    </row>
    <row r="280" spans="17:27" x14ac:dyDescent="0.3">
      <c r="Q280" s="51"/>
      <c r="S280" s="45"/>
      <c r="T280" s="45"/>
      <c r="U280" s="45"/>
      <c r="V280" s="45"/>
      <c r="W280" s="51"/>
      <c r="AA280" s="45"/>
    </row>
    <row r="281" spans="17:27" x14ac:dyDescent="0.3">
      <c r="Q281" s="51"/>
      <c r="S281" s="45"/>
      <c r="T281" s="45"/>
      <c r="U281" s="45"/>
      <c r="V281" s="45"/>
      <c r="W281" s="51"/>
      <c r="AA281" s="45"/>
    </row>
    <row r="282" spans="17:27" x14ac:dyDescent="0.3">
      <c r="Q282" s="51"/>
      <c r="S282" s="45"/>
      <c r="T282" s="45"/>
      <c r="U282" s="45"/>
      <c r="V282" s="45"/>
      <c r="W282" s="51"/>
      <c r="AA282" s="45"/>
    </row>
    <row r="283" spans="17:27" x14ac:dyDescent="0.3">
      <c r="Q283" s="51"/>
      <c r="S283" s="45"/>
      <c r="T283" s="45"/>
      <c r="U283" s="45"/>
      <c r="V283" s="45"/>
      <c r="W283" s="51"/>
      <c r="AA283" s="45"/>
    </row>
    <row r="284" spans="17:27" x14ac:dyDescent="0.3">
      <c r="Q284" s="51"/>
      <c r="S284" s="45"/>
      <c r="T284" s="45"/>
      <c r="U284" s="45"/>
      <c r="V284" s="45"/>
      <c r="W284" s="51"/>
      <c r="AA284" s="45"/>
    </row>
    <row r="285" spans="17:27" x14ac:dyDescent="0.3">
      <c r="Q285" s="51"/>
      <c r="S285" s="45"/>
      <c r="T285" s="45"/>
      <c r="U285" s="45"/>
      <c r="V285" s="45"/>
      <c r="W285" s="51"/>
      <c r="AA285" s="45"/>
    </row>
    <row r="286" spans="17:27" x14ac:dyDescent="0.3">
      <c r="Q286" s="51"/>
      <c r="S286" s="45"/>
      <c r="T286" s="45"/>
      <c r="U286" s="45"/>
      <c r="V286" s="45"/>
      <c r="W286" s="51"/>
      <c r="AA286" s="45"/>
    </row>
    <row r="287" spans="17:27" x14ac:dyDescent="0.3">
      <c r="Q287" s="51"/>
      <c r="S287" s="45"/>
      <c r="T287" s="45"/>
      <c r="U287" s="45"/>
      <c r="V287" s="45"/>
      <c r="W287" s="51"/>
      <c r="AA287" s="45"/>
    </row>
    <row r="288" spans="17:27" x14ac:dyDescent="0.3">
      <c r="Q288" s="51"/>
      <c r="S288" s="45"/>
      <c r="T288" s="45"/>
      <c r="U288" s="45"/>
      <c r="V288" s="45"/>
      <c r="W288" s="51"/>
      <c r="AA288" s="45"/>
    </row>
    <row r="289" spans="17:27" x14ac:dyDescent="0.3">
      <c r="Q289" s="51"/>
      <c r="S289" s="45"/>
      <c r="T289" s="45"/>
      <c r="U289" s="45"/>
      <c r="V289" s="45"/>
      <c r="W289" s="51"/>
      <c r="AA289" s="45"/>
    </row>
    <row r="290" spans="17:27" x14ac:dyDescent="0.3">
      <c r="Q290" s="51"/>
      <c r="S290" s="45"/>
      <c r="T290" s="45"/>
      <c r="U290" s="45"/>
      <c r="V290" s="45"/>
      <c r="W290" s="51"/>
      <c r="AA290" s="45"/>
    </row>
    <row r="291" spans="17:27" x14ac:dyDescent="0.3">
      <c r="Q291" s="51"/>
      <c r="S291" s="45"/>
      <c r="T291" s="45"/>
      <c r="U291" s="45"/>
      <c r="V291" s="45"/>
      <c r="W291" s="51"/>
      <c r="AA291" s="45"/>
    </row>
    <row r="292" spans="17:27" x14ac:dyDescent="0.3">
      <c r="Q292" s="51"/>
      <c r="S292" s="45"/>
      <c r="T292" s="45"/>
      <c r="U292" s="45"/>
      <c r="V292" s="45"/>
      <c r="W292" s="51"/>
      <c r="AA292" s="45"/>
    </row>
    <row r="293" spans="17:27" x14ac:dyDescent="0.3">
      <c r="Q293" s="51"/>
      <c r="S293" s="45"/>
      <c r="T293" s="45"/>
      <c r="U293" s="45"/>
      <c r="V293" s="45"/>
      <c r="W293" s="51"/>
      <c r="AA293" s="45"/>
    </row>
    <row r="294" spans="17:27" x14ac:dyDescent="0.3">
      <c r="Q294" s="51"/>
      <c r="S294" s="45"/>
      <c r="T294" s="45"/>
      <c r="U294" s="45"/>
      <c r="V294" s="45"/>
      <c r="W294" s="51"/>
      <c r="AA294" s="45"/>
    </row>
    <row r="295" spans="17:27" x14ac:dyDescent="0.3">
      <c r="Q295" s="51"/>
      <c r="S295" s="45"/>
      <c r="T295" s="45"/>
      <c r="U295" s="45"/>
      <c r="V295" s="45"/>
      <c r="W295" s="51"/>
      <c r="AA295" s="45"/>
    </row>
    <row r="296" spans="17:27" x14ac:dyDescent="0.3">
      <c r="Q296" s="51"/>
      <c r="S296" s="45"/>
      <c r="T296" s="45"/>
      <c r="U296" s="45"/>
      <c r="V296" s="45"/>
      <c r="W296" s="51"/>
      <c r="AA296" s="45"/>
    </row>
    <row r="297" spans="17:27" x14ac:dyDescent="0.3">
      <c r="Q297" s="51"/>
      <c r="S297" s="45"/>
      <c r="T297" s="45"/>
      <c r="U297" s="45"/>
      <c r="V297" s="45"/>
      <c r="W297" s="51"/>
      <c r="AA297" s="45"/>
    </row>
    <row r="298" spans="17:27" x14ac:dyDescent="0.3">
      <c r="Q298" s="51"/>
      <c r="S298" s="45"/>
      <c r="T298" s="45"/>
      <c r="U298" s="45"/>
      <c r="V298" s="45"/>
      <c r="W298" s="51"/>
      <c r="AA298" s="45"/>
    </row>
    <row r="299" spans="17:27" x14ac:dyDescent="0.3">
      <c r="Q299" s="51"/>
      <c r="S299" s="45"/>
      <c r="T299" s="45"/>
      <c r="U299" s="45"/>
      <c r="V299" s="45"/>
      <c r="W299" s="51"/>
      <c r="AA299" s="45"/>
    </row>
    <row r="300" spans="17:27" x14ac:dyDescent="0.3">
      <c r="Q300" s="51"/>
      <c r="S300" s="45"/>
      <c r="T300" s="45"/>
      <c r="U300" s="45"/>
      <c r="V300" s="45"/>
      <c r="W300" s="51"/>
      <c r="AA300" s="45"/>
    </row>
    <row r="301" spans="17:27" x14ac:dyDescent="0.3">
      <c r="Q301" s="51"/>
      <c r="S301" s="45"/>
      <c r="T301" s="45"/>
      <c r="U301" s="45"/>
      <c r="V301" s="45"/>
      <c r="W301" s="51"/>
      <c r="AA301" s="45"/>
    </row>
    <row r="302" spans="17:27" x14ac:dyDescent="0.3">
      <c r="Q302" s="51"/>
      <c r="S302" s="45"/>
      <c r="T302" s="45"/>
      <c r="U302" s="45"/>
      <c r="V302" s="45"/>
      <c r="W302" s="51"/>
      <c r="AA302" s="45"/>
    </row>
    <row r="303" spans="17:27" x14ac:dyDescent="0.3">
      <c r="Q303" s="51"/>
      <c r="S303" s="45"/>
      <c r="T303" s="45"/>
      <c r="U303" s="45"/>
      <c r="V303" s="45"/>
      <c r="W303" s="51"/>
      <c r="AA303" s="45"/>
    </row>
    <row r="304" spans="17:27" x14ac:dyDescent="0.3">
      <c r="Q304" s="51"/>
      <c r="S304" s="45"/>
      <c r="T304" s="45"/>
      <c r="U304" s="45"/>
      <c r="V304" s="45"/>
      <c r="W304" s="51"/>
      <c r="AA304" s="45"/>
    </row>
    <row r="305" spans="17:27" x14ac:dyDescent="0.3">
      <c r="Q305" s="51"/>
      <c r="S305" s="45"/>
      <c r="T305" s="45"/>
      <c r="U305" s="45"/>
      <c r="V305" s="45"/>
      <c r="W305" s="51"/>
      <c r="AA305" s="45"/>
    </row>
    <row r="306" spans="17:27" x14ac:dyDescent="0.3">
      <c r="Q306" s="51"/>
      <c r="S306" s="45"/>
      <c r="T306" s="45"/>
      <c r="U306" s="45"/>
      <c r="V306" s="45"/>
      <c r="W306" s="51"/>
      <c r="AA306" s="45"/>
    </row>
    <row r="307" spans="17:27" x14ac:dyDescent="0.3">
      <c r="Q307" s="51"/>
      <c r="S307" s="45"/>
      <c r="T307" s="45"/>
      <c r="U307" s="45"/>
      <c r="V307" s="45"/>
      <c r="W307" s="51"/>
      <c r="AA307" s="45"/>
    </row>
    <row r="308" spans="17:27" x14ac:dyDescent="0.3">
      <c r="Q308" s="51"/>
      <c r="S308" s="45"/>
      <c r="T308" s="45"/>
      <c r="U308" s="45"/>
      <c r="V308" s="45"/>
      <c r="W308" s="51"/>
      <c r="AA308" s="45"/>
    </row>
    <row r="309" spans="17:27" x14ac:dyDescent="0.3">
      <c r="Q309" s="51"/>
      <c r="S309" s="45"/>
      <c r="T309" s="45"/>
      <c r="U309" s="45"/>
      <c r="V309" s="45"/>
      <c r="W309" s="51"/>
      <c r="AA309" s="45"/>
    </row>
    <row r="310" spans="17:27" x14ac:dyDescent="0.3">
      <c r="Q310" s="51"/>
      <c r="S310" s="45"/>
      <c r="T310" s="45"/>
      <c r="U310" s="45"/>
      <c r="V310" s="45"/>
      <c r="W310" s="51"/>
      <c r="AA310" s="45"/>
    </row>
    <row r="311" spans="17:27" x14ac:dyDescent="0.3">
      <c r="Q311" s="51"/>
      <c r="S311" s="45"/>
      <c r="T311" s="45"/>
      <c r="U311" s="45"/>
      <c r="V311" s="45"/>
      <c r="W311" s="51"/>
      <c r="AA311" s="45"/>
    </row>
    <row r="312" spans="17:27" x14ac:dyDescent="0.3">
      <c r="Q312" s="51"/>
      <c r="S312" s="45"/>
      <c r="T312" s="45"/>
      <c r="U312" s="45"/>
      <c r="V312" s="45"/>
      <c r="W312" s="51"/>
      <c r="AA312" s="45"/>
    </row>
    <row r="313" spans="17:27" x14ac:dyDescent="0.3">
      <c r="Q313" s="51"/>
      <c r="S313" s="45"/>
      <c r="T313" s="45"/>
      <c r="U313" s="45"/>
      <c r="V313" s="45"/>
      <c r="W313" s="51"/>
      <c r="AA313" s="45"/>
    </row>
    <row r="314" spans="17:27" x14ac:dyDescent="0.3">
      <c r="Q314" s="51"/>
      <c r="S314" s="45"/>
      <c r="T314" s="45"/>
      <c r="U314" s="45"/>
      <c r="V314" s="45"/>
      <c r="W314" s="51"/>
      <c r="AA314" s="45"/>
    </row>
    <row r="315" spans="17:27" x14ac:dyDescent="0.3">
      <c r="Q315" s="51"/>
      <c r="S315" s="45"/>
      <c r="T315" s="45"/>
      <c r="U315" s="45"/>
      <c r="V315" s="45"/>
      <c r="W315" s="51"/>
      <c r="AA315" s="45"/>
    </row>
    <row r="316" spans="17:27" x14ac:dyDescent="0.3">
      <c r="Q316" s="51"/>
      <c r="S316" s="45"/>
      <c r="T316" s="45"/>
      <c r="U316" s="45"/>
      <c r="V316" s="45"/>
      <c r="W316" s="51"/>
      <c r="AA316" s="45"/>
    </row>
    <row r="317" spans="17:27" x14ac:dyDescent="0.3">
      <c r="Q317" s="51"/>
      <c r="S317" s="45"/>
      <c r="T317" s="45"/>
      <c r="U317" s="45"/>
      <c r="V317" s="45"/>
      <c r="W317" s="51"/>
      <c r="AA317" s="45"/>
    </row>
    <row r="318" spans="17:27" x14ac:dyDescent="0.3">
      <c r="Q318" s="51"/>
      <c r="S318" s="45"/>
      <c r="T318" s="45"/>
      <c r="U318" s="45"/>
      <c r="V318" s="45"/>
      <c r="W318" s="51"/>
      <c r="AA318" s="45"/>
    </row>
    <row r="319" spans="17:27" x14ac:dyDescent="0.3">
      <c r="Q319" s="51"/>
      <c r="S319" s="45"/>
      <c r="T319" s="45"/>
      <c r="U319" s="45"/>
      <c r="V319" s="45"/>
      <c r="W319" s="51"/>
      <c r="AA319" s="45"/>
    </row>
    <row r="320" spans="17:27" x14ac:dyDescent="0.3">
      <c r="Q320" s="51"/>
      <c r="S320" s="45"/>
      <c r="T320" s="45"/>
      <c r="U320" s="45"/>
      <c r="V320" s="45"/>
      <c r="W320" s="51"/>
      <c r="AA320" s="45"/>
    </row>
    <row r="321" spans="17:27" x14ac:dyDescent="0.3">
      <c r="Q321" s="51"/>
      <c r="S321" s="45"/>
      <c r="T321" s="45"/>
      <c r="U321" s="45"/>
      <c r="V321" s="45"/>
      <c r="W321" s="51"/>
      <c r="AA321" s="45"/>
    </row>
    <row r="322" spans="17:27" x14ac:dyDescent="0.3">
      <c r="Q322" s="51"/>
      <c r="S322" s="45"/>
      <c r="T322" s="45"/>
      <c r="U322" s="45"/>
      <c r="V322" s="45"/>
      <c r="W322" s="51"/>
      <c r="AA322" s="45"/>
    </row>
    <row r="323" spans="17:27" x14ac:dyDescent="0.3">
      <c r="Q323" s="51"/>
      <c r="S323" s="45"/>
      <c r="T323" s="45"/>
      <c r="U323" s="45"/>
      <c r="V323" s="45"/>
      <c r="W323" s="51"/>
      <c r="AA323" s="45"/>
    </row>
    <row r="324" spans="17:27" x14ac:dyDescent="0.3">
      <c r="Q324" s="51"/>
      <c r="S324" s="45"/>
      <c r="T324" s="45"/>
      <c r="U324" s="45"/>
      <c r="V324" s="45"/>
      <c r="W324" s="51"/>
      <c r="AA324" s="45"/>
    </row>
    <row r="325" spans="17:27" x14ac:dyDescent="0.3">
      <c r="Q325" s="51"/>
      <c r="S325" s="45"/>
      <c r="T325" s="45"/>
      <c r="U325" s="45"/>
      <c r="V325" s="45"/>
      <c r="W325" s="51"/>
      <c r="AA325" s="45"/>
    </row>
    <row r="326" spans="17:27" x14ac:dyDescent="0.3">
      <c r="Q326" s="51"/>
      <c r="S326" s="45"/>
      <c r="T326" s="45"/>
      <c r="U326" s="45"/>
      <c r="V326" s="45"/>
      <c r="W326" s="51"/>
      <c r="AA326" s="45"/>
    </row>
    <row r="327" spans="17:27" x14ac:dyDescent="0.3">
      <c r="Q327" s="51"/>
      <c r="S327" s="45"/>
      <c r="T327" s="45"/>
      <c r="U327" s="45"/>
      <c r="V327" s="45"/>
      <c r="W327" s="51"/>
      <c r="AA327" s="45"/>
    </row>
    <row r="328" spans="17:27" x14ac:dyDescent="0.3">
      <c r="Q328" s="51"/>
      <c r="S328" s="45"/>
      <c r="T328" s="45"/>
      <c r="U328" s="45"/>
      <c r="V328" s="45"/>
      <c r="W328" s="51"/>
      <c r="AA328" s="45"/>
    </row>
    <row r="329" spans="17:27" x14ac:dyDescent="0.3">
      <c r="Q329" s="51"/>
      <c r="S329" s="45"/>
      <c r="T329" s="45"/>
      <c r="U329" s="45"/>
      <c r="V329" s="45"/>
      <c r="W329" s="51"/>
      <c r="AA329" s="45"/>
    </row>
    <row r="330" spans="17:27" x14ac:dyDescent="0.3">
      <c r="Q330" s="51"/>
      <c r="S330" s="45"/>
      <c r="T330" s="45"/>
      <c r="U330" s="45"/>
      <c r="V330" s="45"/>
      <c r="W330" s="51"/>
      <c r="AA330" s="45"/>
    </row>
    <row r="331" spans="17:27" x14ac:dyDescent="0.3">
      <c r="Q331" s="51"/>
      <c r="S331" s="45"/>
      <c r="T331" s="45"/>
      <c r="U331" s="45"/>
      <c r="V331" s="45"/>
      <c r="W331" s="51"/>
      <c r="AA331" s="45"/>
    </row>
    <row r="332" spans="17:27" x14ac:dyDescent="0.3">
      <c r="Q332" s="51"/>
      <c r="S332" s="45"/>
      <c r="T332" s="45"/>
      <c r="U332" s="45"/>
      <c r="V332" s="45"/>
      <c r="W332" s="51"/>
      <c r="AA332" s="45"/>
    </row>
    <row r="333" spans="17:27" x14ac:dyDescent="0.3">
      <c r="Q333" s="51"/>
      <c r="S333" s="45"/>
      <c r="T333" s="45"/>
      <c r="U333" s="45"/>
      <c r="V333" s="45"/>
      <c r="W333" s="51"/>
      <c r="AA333" s="45"/>
    </row>
    <row r="334" spans="17:27" x14ac:dyDescent="0.3">
      <c r="Q334" s="51"/>
      <c r="S334" s="45"/>
      <c r="T334" s="45"/>
      <c r="U334" s="45"/>
      <c r="V334" s="45"/>
      <c r="W334" s="51"/>
      <c r="AA334" s="45"/>
    </row>
    <row r="335" spans="17:27" x14ac:dyDescent="0.3">
      <c r="Q335" s="51"/>
      <c r="S335" s="45"/>
      <c r="T335" s="45"/>
      <c r="U335" s="45"/>
      <c r="V335" s="45"/>
      <c r="W335" s="51"/>
      <c r="AA335" s="45"/>
    </row>
    <row r="336" spans="17:27" x14ac:dyDescent="0.3">
      <c r="Q336" s="51"/>
      <c r="S336" s="45"/>
      <c r="T336" s="45"/>
      <c r="U336" s="45"/>
      <c r="V336" s="45"/>
      <c r="W336" s="51"/>
      <c r="AA336" s="45"/>
    </row>
    <row r="337" spans="17:27" x14ac:dyDescent="0.3">
      <c r="Q337" s="51"/>
      <c r="S337" s="45"/>
      <c r="T337" s="45"/>
      <c r="U337" s="45"/>
      <c r="V337" s="45"/>
      <c r="W337" s="51"/>
      <c r="AA337" s="45"/>
    </row>
    <row r="338" spans="17:27" x14ac:dyDescent="0.3">
      <c r="Q338" s="51"/>
      <c r="S338" s="45"/>
      <c r="T338" s="45"/>
      <c r="U338" s="45"/>
      <c r="V338" s="45"/>
      <c r="W338" s="51"/>
      <c r="AA338" s="45"/>
    </row>
    <row r="339" spans="17:27" x14ac:dyDescent="0.3">
      <c r="Q339" s="51"/>
      <c r="S339" s="45"/>
      <c r="T339" s="45"/>
      <c r="U339" s="45"/>
      <c r="V339" s="45"/>
      <c r="W339" s="51"/>
      <c r="AA339" s="45"/>
    </row>
    <row r="340" spans="17:27" x14ac:dyDescent="0.3">
      <c r="Q340" s="51"/>
      <c r="S340" s="45"/>
      <c r="T340" s="45"/>
      <c r="U340" s="45"/>
      <c r="V340" s="45"/>
      <c r="W340" s="51"/>
      <c r="AA340" s="45"/>
    </row>
    <row r="341" spans="17:27" x14ac:dyDescent="0.3">
      <c r="Q341" s="51"/>
      <c r="S341" s="45"/>
      <c r="T341" s="45"/>
      <c r="U341" s="45"/>
      <c r="V341" s="45"/>
      <c r="W341" s="51"/>
      <c r="AA341" s="45"/>
    </row>
    <row r="342" spans="17:27" x14ac:dyDescent="0.3">
      <c r="Q342" s="51"/>
      <c r="S342" s="45"/>
      <c r="T342" s="45"/>
      <c r="U342" s="45"/>
      <c r="V342" s="45"/>
      <c r="W342" s="51"/>
      <c r="AA342" s="45"/>
    </row>
    <row r="343" spans="17:27" x14ac:dyDescent="0.3">
      <c r="Q343" s="51"/>
      <c r="S343" s="45"/>
      <c r="T343" s="45"/>
      <c r="U343" s="45"/>
      <c r="V343" s="45"/>
      <c r="W343" s="51"/>
      <c r="AA343" s="45"/>
    </row>
    <row r="344" spans="17:27" x14ac:dyDescent="0.3">
      <c r="Q344" s="51"/>
      <c r="S344" s="45"/>
      <c r="T344" s="45"/>
      <c r="U344" s="45"/>
      <c r="V344" s="45"/>
      <c r="W344" s="51"/>
      <c r="AA344" s="45"/>
    </row>
    <row r="345" spans="17:27" x14ac:dyDescent="0.3">
      <c r="Q345" s="51"/>
      <c r="S345" s="45"/>
      <c r="T345" s="45"/>
      <c r="U345" s="45"/>
      <c r="V345" s="45"/>
      <c r="W345" s="51"/>
      <c r="AA345" s="45"/>
    </row>
    <row r="346" spans="17:27" x14ac:dyDescent="0.3">
      <c r="Q346" s="51"/>
      <c r="S346" s="45"/>
      <c r="T346" s="45"/>
      <c r="U346" s="45"/>
      <c r="V346" s="45"/>
      <c r="W346" s="51"/>
      <c r="AA346" s="45"/>
    </row>
    <row r="347" spans="17:27" x14ac:dyDescent="0.3">
      <c r="Q347" s="51"/>
      <c r="S347" s="45"/>
      <c r="T347" s="45"/>
      <c r="U347" s="45"/>
      <c r="V347" s="45"/>
      <c r="W347" s="51"/>
      <c r="AA347" s="45"/>
    </row>
    <row r="348" spans="17:27" x14ac:dyDescent="0.3">
      <c r="Q348" s="51"/>
      <c r="S348" s="45"/>
      <c r="T348" s="45"/>
      <c r="U348" s="45"/>
      <c r="V348" s="45"/>
      <c r="W348" s="51"/>
      <c r="AA348" s="45"/>
    </row>
    <row r="349" spans="17:27" x14ac:dyDescent="0.3">
      <c r="Q349" s="51"/>
      <c r="S349" s="45"/>
      <c r="T349" s="45"/>
      <c r="U349" s="45"/>
      <c r="V349" s="45"/>
      <c r="W349" s="51"/>
      <c r="AA349" s="45"/>
    </row>
    <row r="350" spans="17:27" x14ac:dyDescent="0.3">
      <c r="Q350" s="51"/>
      <c r="S350" s="45"/>
      <c r="T350" s="45"/>
      <c r="U350" s="45"/>
      <c r="V350" s="45"/>
      <c r="W350" s="51"/>
      <c r="AA350" s="45"/>
    </row>
    <row r="351" spans="17:27" x14ac:dyDescent="0.3">
      <c r="Q351" s="51"/>
      <c r="S351" s="45"/>
      <c r="T351" s="45"/>
      <c r="U351" s="45"/>
      <c r="V351" s="45"/>
      <c r="W351" s="51"/>
      <c r="AA351" s="45"/>
    </row>
    <row r="352" spans="17:27" x14ac:dyDescent="0.3">
      <c r="Q352" s="51"/>
      <c r="S352" s="45"/>
      <c r="T352" s="45"/>
      <c r="U352" s="45"/>
      <c r="V352" s="45"/>
      <c r="W352" s="51"/>
      <c r="AA352" s="45"/>
    </row>
    <row r="353" spans="17:27" x14ac:dyDescent="0.3">
      <c r="Q353" s="51"/>
      <c r="S353" s="45"/>
      <c r="T353" s="45"/>
      <c r="U353" s="45"/>
      <c r="V353" s="45"/>
      <c r="W353" s="51"/>
      <c r="AA353" s="45"/>
    </row>
    <row r="354" spans="17:27" x14ac:dyDescent="0.3">
      <c r="Q354" s="51"/>
      <c r="S354" s="45"/>
      <c r="T354" s="45"/>
      <c r="U354" s="45"/>
      <c r="V354" s="45"/>
      <c r="W354" s="51"/>
      <c r="AA354" s="45"/>
    </row>
    <row r="355" spans="17:27" x14ac:dyDescent="0.3">
      <c r="Q355" s="51"/>
      <c r="S355" s="45"/>
      <c r="T355" s="45"/>
      <c r="U355" s="45"/>
      <c r="V355" s="45"/>
      <c r="W355" s="51"/>
      <c r="AA355" s="45"/>
    </row>
    <row r="356" spans="17:27" x14ac:dyDescent="0.3">
      <c r="Q356" s="51"/>
      <c r="S356" s="45"/>
      <c r="T356" s="45"/>
      <c r="U356" s="45"/>
      <c r="V356" s="45"/>
      <c r="W356" s="51"/>
      <c r="AA356" s="45"/>
    </row>
    <row r="357" spans="17:27" x14ac:dyDescent="0.3">
      <c r="Q357" s="51"/>
      <c r="S357" s="45"/>
      <c r="T357" s="45"/>
      <c r="U357" s="45"/>
      <c r="V357" s="45"/>
      <c r="W357" s="51"/>
      <c r="AA357" s="45"/>
    </row>
    <row r="358" spans="17:27" x14ac:dyDescent="0.3">
      <c r="Q358" s="51"/>
      <c r="S358" s="45"/>
      <c r="T358" s="45"/>
      <c r="U358" s="45"/>
      <c r="V358" s="45"/>
      <c r="W358" s="51"/>
      <c r="AA358" s="45"/>
    </row>
    <row r="359" spans="17:27" x14ac:dyDescent="0.3">
      <c r="Q359" s="51"/>
      <c r="S359" s="45"/>
      <c r="T359" s="45"/>
      <c r="U359" s="45"/>
      <c r="V359" s="45"/>
      <c r="W359" s="51"/>
      <c r="AA359" s="45"/>
    </row>
    <row r="360" spans="17:27" x14ac:dyDescent="0.3">
      <c r="Q360" s="51"/>
      <c r="S360" s="45"/>
      <c r="T360" s="45"/>
      <c r="U360" s="45"/>
      <c r="V360" s="45"/>
      <c r="W360" s="51"/>
      <c r="AA360" s="45"/>
    </row>
    <row r="361" spans="17:27" x14ac:dyDescent="0.3">
      <c r="Q361" s="51"/>
      <c r="S361" s="45"/>
      <c r="T361" s="45"/>
      <c r="U361" s="45"/>
      <c r="V361" s="45"/>
      <c r="W361" s="51"/>
      <c r="AA361" s="45"/>
    </row>
    <row r="362" spans="17:27" x14ac:dyDescent="0.3">
      <c r="Q362" s="51"/>
      <c r="S362" s="45"/>
      <c r="T362" s="45"/>
      <c r="U362" s="45"/>
      <c r="V362" s="45"/>
      <c r="W362" s="51"/>
      <c r="AA362" s="45"/>
    </row>
    <row r="363" spans="17:27" x14ac:dyDescent="0.3">
      <c r="Q363" s="51"/>
      <c r="S363" s="45"/>
      <c r="T363" s="45"/>
      <c r="U363" s="45"/>
      <c r="V363" s="45"/>
      <c r="W363" s="51"/>
      <c r="AA363" s="45"/>
    </row>
    <row r="364" spans="17:27" x14ac:dyDescent="0.3">
      <c r="Q364" s="51"/>
      <c r="S364" s="45"/>
      <c r="T364" s="45"/>
      <c r="U364" s="45"/>
      <c r="V364" s="45"/>
      <c r="W364" s="51"/>
      <c r="AA364" s="45"/>
    </row>
    <row r="365" spans="17:27" x14ac:dyDescent="0.3">
      <c r="Q365" s="51"/>
      <c r="S365" s="45"/>
      <c r="T365" s="45"/>
      <c r="U365" s="45"/>
      <c r="V365" s="45"/>
      <c r="W365" s="51"/>
      <c r="AA365" s="45"/>
    </row>
    <row r="366" spans="17:27" x14ac:dyDescent="0.3">
      <c r="Q366" s="51"/>
      <c r="S366" s="45"/>
      <c r="T366" s="45"/>
      <c r="U366" s="45"/>
      <c r="V366" s="45"/>
      <c r="W366" s="51"/>
      <c r="AA366" s="45"/>
    </row>
    <row r="367" spans="17:27" x14ac:dyDescent="0.3">
      <c r="Q367" s="51"/>
      <c r="S367" s="45"/>
      <c r="T367" s="45"/>
      <c r="U367" s="45"/>
      <c r="V367" s="45"/>
      <c r="W367" s="51"/>
      <c r="AA367" s="45"/>
    </row>
    <row r="368" spans="17:27" x14ac:dyDescent="0.3">
      <c r="Q368" s="51"/>
      <c r="S368" s="45"/>
      <c r="T368" s="45"/>
      <c r="U368" s="45"/>
      <c r="V368" s="45"/>
      <c r="W368" s="51"/>
      <c r="AA368" s="45"/>
    </row>
    <row r="369" spans="17:27" x14ac:dyDescent="0.3">
      <c r="Q369" s="51"/>
      <c r="S369" s="45"/>
      <c r="T369" s="45"/>
      <c r="U369" s="45"/>
      <c r="V369" s="45"/>
      <c r="W369" s="51"/>
      <c r="AA369" s="45"/>
    </row>
    <row r="370" spans="17:27" x14ac:dyDescent="0.3">
      <c r="Q370" s="51"/>
      <c r="S370" s="45"/>
      <c r="T370" s="45"/>
      <c r="U370" s="45"/>
      <c r="V370" s="45"/>
      <c r="W370" s="51"/>
      <c r="AA370" s="45"/>
    </row>
    <row r="371" spans="17:27" x14ac:dyDescent="0.3">
      <c r="Q371" s="51"/>
      <c r="S371" s="45"/>
      <c r="T371" s="45"/>
      <c r="U371" s="45"/>
      <c r="V371" s="45"/>
      <c r="W371" s="51"/>
      <c r="AA371" s="45"/>
    </row>
    <row r="372" spans="17:27" x14ac:dyDescent="0.3">
      <c r="Q372" s="51"/>
      <c r="S372" s="45"/>
      <c r="T372" s="45"/>
      <c r="U372" s="45"/>
      <c r="V372" s="45"/>
      <c r="W372" s="51"/>
      <c r="AA372" s="45"/>
    </row>
    <row r="373" spans="17:27" x14ac:dyDescent="0.3">
      <c r="Q373" s="51"/>
      <c r="S373" s="45"/>
      <c r="T373" s="45"/>
      <c r="U373" s="45"/>
      <c r="V373" s="45"/>
      <c r="W373" s="51"/>
      <c r="AA373" s="45"/>
    </row>
    <row r="374" spans="17:27" x14ac:dyDescent="0.3">
      <c r="Q374" s="51"/>
      <c r="S374" s="45"/>
      <c r="T374" s="45"/>
      <c r="U374" s="45"/>
      <c r="V374" s="45"/>
      <c r="W374" s="51"/>
      <c r="AA374" s="45"/>
    </row>
    <row r="375" spans="17:27" x14ac:dyDescent="0.3">
      <c r="Q375" s="51"/>
      <c r="S375" s="45"/>
      <c r="T375" s="45"/>
      <c r="U375" s="45"/>
      <c r="V375" s="45"/>
      <c r="W375" s="51"/>
      <c r="AA375" s="45"/>
    </row>
    <row r="376" spans="17:27" x14ac:dyDescent="0.3">
      <c r="Q376" s="51"/>
      <c r="S376" s="45"/>
      <c r="T376" s="45"/>
      <c r="U376" s="45"/>
      <c r="V376" s="45"/>
      <c r="W376" s="51"/>
      <c r="AA376" s="45"/>
    </row>
    <row r="377" spans="17:27" x14ac:dyDescent="0.3">
      <c r="Q377" s="51"/>
      <c r="S377" s="45"/>
      <c r="T377" s="45"/>
      <c r="U377" s="45"/>
      <c r="V377" s="45"/>
      <c r="W377" s="51"/>
      <c r="AA377" s="45"/>
    </row>
    <row r="378" spans="17:27" x14ac:dyDescent="0.3">
      <c r="Q378" s="51"/>
      <c r="S378" s="45"/>
      <c r="T378" s="45"/>
      <c r="U378" s="45"/>
      <c r="V378" s="45"/>
      <c r="W378" s="51"/>
      <c r="AA378" s="45"/>
    </row>
    <row r="379" spans="17:27" x14ac:dyDescent="0.3">
      <c r="Q379" s="51"/>
      <c r="S379" s="45"/>
      <c r="T379" s="45"/>
      <c r="U379" s="45"/>
      <c r="V379" s="45"/>
      <c r="W379" s="51"/>
      <c r="AA379" s="45"/>
    </row>
    <row r="380" spans="17:27" x14ac:dyDescent="0.3">
      <c r="Q380" s="51"/>
      <c r="S380" s="45"/>
      <c r="T380" s="45"/>
      <c r="U380" s="45"/>
      <c r="V380" s="45"/>
      <c r="W380" s="51"/>
      <c r="AA380" s="45"/>
    </row>
    <row r="381" spans="17:27" x14ac:dyDescent="0.3">
      <c r="Q381" s="51"/>
      <c r="S381" s="45"/>
      <c r="T381" s="45"/>
      <c r="U381" s="45"/>
      <c r="V381" s="45"/>
      <c r="W381" s="51"/>
      <c r="AA381" s="45"/>
    </row>
    <row r="382" spans="17:27" x14ac:dyDescent="0.3">
      <c r="Q382" s="51"/>
      <c r="S382" s="45"/>
      <c r="T382" s="45"/>
      <c r="U382" s="45"/>
      <c r="V382" s="45"/>
      <c r="W382" s="51"/>
      <c r="AA382" s="45"/>
    </row>
    <row r="383" spans="17:27" x14ac:dyDescent="0.3">
      <c r="Q383" s="51"/>
      <c r="S383" s="45"/>
      <c r="T383" s="45"/>
      <c r="U383" s="45"/>
      <c r="V383" s="45"/>
      <c r="W383" s="51"/>
      <c r="AA383" s="45"/>
    </row>
    <row r="384" spans="17:27" x14ac:dyDescent="0.3">
      <c r="Q384" s="51"/>
      <c r="S384" s="45"/>
      <c r="T384" s="45"/>
      <c r="U384" s="45"/>
      <c r="V384" s="45"/>
      <c r="W384" s="51"/>
      <c r="AA384" s="45"/>
    </row>
    <row r="385" spans="17:27" x14ac:dyDescent="0.3">
      <c r="Q385" s="51"/>
      <c r="S385" s="45"/>
      <c r="T385" s="45"/>
      <c r="U385" s="45"/>
      <c r="V385" s="45"/>
      <c r="W385" s="51"/>
      <c r="AA385" s="45"/>
    </row>
    <row r="386" spans="17:27" x14ac:dyDescent="0.3">
      <c r="Q386" s="51"/>
      <c r="S386" s="45"/>
      <c r="T386" s="45"/>
      <c r="U386" s="45"/>
      <c r="V386" s="45"/>
      <c r="W386" s="51"/>
      <c r="AA386" s="45"/>
    </row>
    <row r="387" spans="17:27" x14ac:dyDescent="0.3">
      <c r="Q387" s="51"/>
      <c r="S387" s="45"/>
      <c r="T387" s="45"/>
      <c r="U387" s="45"/>
      <c r="V387" s="45"/>
      <c r="W387" s="51"/>
      <c r="AA387" s="45"/>
    </row>
    <row r="388" spans="17:27" x14ac:dyDescent="0.3">
      <c r="Q388" s="51"/>
      <c r="S388" s="45"/>
      <c r="T388" s="45"/>
      <c r="U388" s="45"/>
      <c r="V388" s="45"/>
      <c r="W388" s="51"/>
      <c r="AA388" s="45"/>
    </row>
    <row r="389" spans="17:27" x14ac:dyDescent="0.3">
      <c r="Q389" s="51"/>
      <c r="S389" s="45"/>
      <c r="T389" s="45"/>
      <c r="U389" s="45"/>
      <c r="V389" s="45"/>
      <c r="W389" s="51"/>
      <c r="AA389" s="45"/>
    </row>
    <row r="390" spans="17:27" x14ac:dyDescent="0.3">
      <c r="Q390" s="51"/>
      <c r="S390" s="45"/>
      <c r="T390" s="45"/>
      <c r="U390" s="45"/>
      <c r="V390" s="45"/>
      <c r="W390" s="51"/>
      <c r="AA390" s="45"/>
    </row>
    <row r="391" spans="17:27" x14ac:dyDescent="0.3">
      <c r="Q391" s="51"/>
      <c r="S391" s="45"/>
      <c r="T391" s="45"/>
      <c r="U391" s="45"/>
      <c r="V391" s="45"/>
      <c r="W391" s="51"/>
      <c r="AA391" s="45"/>
    </row>
    <row r="392" spans="17:27" x14ac:dyDescent="0.3">
      <c r="Q392" s="51"/>
      <c r="S392" s="45"/>
      <c r="T392" s="45"/>
      <c r="U392" s="45"/>
      <c r="V392" s="45"/>
      <c r="W392" s="51"/>
      <c r="AA392" s="45"/>
    </row>
    <row r="393" spans="17:27" x14ac:dyDescent="0.3">
      <c r="Q393" s="51"/>
      <c r="S393" s="45"/>
      <c r="T393" s="45"/>
      <c r="U393" s="45"/>
      <c r="V393" s="45"/>
      <c r="W393" s="51"/>
      <c r="AA393" s="45"/>
    </row>
    <row r="394" spans="17:27" x14ac:dyDescent="0.3">
      <c r="Q394" s="51"/>
      <c r="S394" s="45"/>
      <c r="T394" s="45"/>
      <c r="U394" s="45"/>
      <c r="V394" s="45"/>
      <c r="W394" s="51"/>
      <c r="AA394" s="45"/>
    </row>
    <row r="395" spans="17:27" x14ac:dyDescent="0.3">
      <c r="Q395" s="51"/>
      <c r="S395" s="45"/>
      <c r="T395" s="45"/>
      <c r="U395" s="45"/>
      <c r="V395" s="45"/>
      <c r="W395" s="51"/>
      <c r="AA395" s="45"/>
    </row>
    <row r="396" spans="17:27" x14ac:dyDescent="0.3">
      <c r="Q396" s="51"/>
      <c r="S396" s="45"/>
      <c r="T396" s="45"/>
      <c r="U396" s="45"/>
      <c r="V396" s="45"/>
      <c r="W396" s="51"/>
      <c r="AA396" s="45"/>
    </row>
    <row r="397" spans="17:27" x14ac:dyDescent="0.3">
      <c r="Q397" s="51"/>
      <c r="S397" s="45"/>
      <c r="T397" s="45"/>
      <c r="U397" s="45"/>
      <c r="V397" s="45"/>
      <c r="W397" s="51"/>
      <c r="AA397" s="45"/>
    </row>
    <row r="398" spans="17:27" x14ac:dyDescent="0.3">
      <c r="Q398" s="51"/>
      <c r="S398" s="45"/>
      <c r="T398" s="45"/>
      <c r="U398" s="45"/>
      <c r="V398" s="45"/>
      <c r="W398" s="51"/>
      <c r="AA398" s="45"/>
    </row>
    <row r="399" spans="17:27" x14ac:dyDescent="0.3">
      <c r="Q399" s="51"/>
      <c r="S399" s="45"/>
      <c r="T399" s="45"/>
      <c r="U399" s="45"/>
      <c r="V399" s="45"/>
      <c r="W399" s="51"/>
      <c r="AA399" s="45"/>
    </row>
    <row r="400" spans="17:27" x14ac:dyDescent="0.3">
      <c r="Q400" s="51"/>
      <c r="S400" s="45"/>
      <c r="T400" s="45"/>
      <c r="U400" s="45"/>
      <c r="V400" s="45"/>
      <c r="W400" s="51"/>
      <c r="AA400" s="45"/>
    </row>
    <row r="401" spans="17:27" x14ac:dyDescent="0.3">
      <c r="Q401" s="51"/>
      <c r="S401" s="45"/>
      <c r="T401" s="45"/>
      <c r="U401" s="45"/>
      <c r="V401" s="45"/>
      <c r="W401" s="51"/>
      <c r="AA401" s="45"/>
    </row>
    <row r="402" spans="17:27" x14ac:dyDescent="0.3">
      <c r="Q402" s="51"/>
      <c r="S402" s="45"/>
      <c r="T402" s="45"/>
      <c r="U402" s="45"/>
      <c r="V402" s="45"/>
      <c r="W402" s="51"/>
      <c r="AA402" s="45"/>
    </row>
    <row r="403" spans="17:27" x14ac:dyDescent="0.3">
      <c r="Q403" s="51"/>
      <c r="S403" s="45"/>
      <c r="T403" s="45"/>
      <c r="U403" s="45"/>
      <c r="V403" s="45"/>
      <c r="W403" s="51"/>
      <c r="AA403" s="45"/>
    </row>
    <row r="404" spans="17:27" x14ac:dyDescent="0.3">
      <c r="Q404" s="51"/>
      <c r="S404" s="45"/>
      <c r="T404" s="45"/>
      <c r="U404" s="45"/>
      <c r="V404" s="45"/>
      <c r="W404" s="51"/>
      <c r="AA404" s="45"/>
    </row>
    <row r="405" spans="17:27" x14ac:dyDescent="0.3">
      <c r="Q405" s="51"/>
      <c r="S405" s="45"/>
      <c r="T405" s="45"/>
      <c r="U405" s="45"/>
      <c r="V405" s="45"/>
      <c r="W405" s="51"/>
      <c r="AA405" s="45"/>
    </row>
    <row r="406" spans="17:27" x14ac:dyDescent="0.3">
      <c r="Q406" s="51"/>
      <c r="S406" s="45"/>
      <c r="T406" s="45"/>
      <c r="U406" s="45"/>
      <c r="V406" s="45"/>
      <c r="W406" s="51"/>
      <c r="AA406" s="45"/>
    </row>
    <row r="407" spans="17:27" x14ac:dyDescent="0.3">
      <c r="Q407" s="51"/>
      <c r="S407" s="45"/>
      <c r="T407" s="45"/>
      <c r="U407" s="45"/>
      <c r="V407" s="45"/>
      <c r="W407" s="51"/>
      <c r="AA407" s="45"/>
    </row>
    <row r="408" spans="17:27" x14ac:dyDescent="0.3">
      <c r="Q408" s="51"/>
      <c r="S408" s="45"/>
      <c r="T408" s="45"/>
      <c r="U408" s="45"/>
      <c r="V408" s="45"/>
      <c r="W408" s="51"/>
      <c r="AA408" s="45"/>
    </row>
    <row r="409" spans="17:27" x14ac:dyDescent="0.3">
      <c r="Q409" s="51"/>
      <c r="S409" s="45"/>
      <c r="T409" s="45"/>
      <c r="U409" s="45"/>
      <c r="V409" s="45"/>
      <c r="W409" s="51"/>
      <c r="AA409" s="45"/>
    </row>
    <row r="410" spans="17:27" x14ac:dyDescent="0.3">
      <c r="Q410" s="51"/>
      <c r="S410" s="45"/>
      <c r="T410" s="45"/>
      <c r="U410" s="45"/>
      <c r="V410" s="45"/>
      <c r="W410" s="51"/>
      <c r="AA410" s="45"/>
    </row>
    <row r="411" spans="17:27" x14ac:dyDescent="0.3">
      <c r="Q411" s="51"/>
      <c r="S411" s="45"/>
      <c r="T411" s="45"/>
      <c r="U411" s="45"/>
      <c r="V411" s="45"/>
      <c r="W411" s="51"/>
      <c r="AA411" s="45"/>
    </row>
    <row r="412" spans="17:27" x14ac:dyDescent="0.3">
      <c r="Q412" s="51"/>
      <c r="S412" s="45"/>
      <c r="T412" s="45"/>
      <c r="U412" s="45"/>
      <c r="V412" s="45"/>
      <c r="W412" s="51"/>
      <c r="AA412" s="45"/>
    </row>
    <row r="413" spans="17:27" x14ac:dyDescent="0.3">
      <c r="Q413" s="51"/>
      <c r="S413" s="45"/>
      <c r="T413" s="45"/>
      <c r="U413" s="45"/>
      <c r="V413" s="45"/>
      <c r="W413" s="51"/>
      <c r="AA413" s="45"/>
    </row>
    <row r="414" spans="17:27" x14ac:dyDescent="0.3">
      <c r="Q414" s="51"/>
      <c r="S414" s="45"/>
      <c r="T414" s="45"/>
      <c r="U414" s="45"/>
      <c r="V414" s="45"/>
      <c r="W414" s="51"/>
      <c r="AA414" s="45"/>
    </row>
    <row r="415" spans="17:27" x14ac:dyDescent="0.3">
      <c r="Q415" s="51"/>
      <c r="S415" s="45"/>
      <c r="T415" s="45"/>
      <c r="U415" s="45"/>
      <c r="V415" s="45"/>
      <c r="W415" s="51"/>
      <c r="AA415" s="45"/>
    </row>
    <row r="416" spans="17:27" x14ac:dyDescent="0.3">
      <c r="Q416" s="51"/>
      <c r="S416" s="45"/>
      <c r="T416" s="45"/>
      <c r="U416" s="45"/>
      <c r="V416" s="45"/>
      <c r="W416" s="51"/>
      <c r="AA416" s="45"/>
    </row>
    <row r="417" spans="17:27" x14ac:dyDescent="0.3">
      <c r="Q417" s="51"/>
      <c r="S417" s="45"/>
      <c r="T417" s="45"/>
      <c r="U417" s="45"/>
      <c r="V417" s="45"/>
      <c r="W417" s="51"/>
      <c r="AA417" s="45"/>
    </row>
    <row r="418" spans="17:27" x14ac:dyDescent="0.3">
      <c r="Q418" s="51"/>
      <c r="S418" s="45"/>
      <c r="T418" s="45"/>
      <c r="U418" s="45"/>
      <c r="V418" s="45"/>
      <c r="W418" s="51"/>
      <c r="AA418" s="45"/>
    </row>
    <row r="419" spans="17:27" x14ac:dyDescent="0.3">
      <c r="Q419" s="51"/>
      <c r="S419" s="45"/>
      <c r="T419" s="45"/>
      <c r="U419" s="45"/>
      <c r="V419" s="45"/>
      <c r="W419" s="51"/>
      <c r="AA419" s="45"/>
    </row>
    <row r="420" spans="17:27" x14ac:dyDescent="0.3">
      <c r="Q420" s="51"/>
      <c r="S420" s="45"/>
      <c r="T420" s="45"/>
      <c r="U420" s="45"/>
      <c r="V420" s="45"/>
      <c r="W420" s="51"/>
      <c r="AA420" s="45"/>
    </row>
    <row r="421" spans="17:27" x14ac:dyDescent="0.3">
      <c r="Q421" s="51"/>
      <c r="S421" s="45"/>
      <c r="T421" s="45"/>
      <c r="U421" s="45"/>
      <c r="V421" s="45"/>
      <c r="W421" s="51"/>
      <c r="AA421" s="45"/>
    </row>
    <row r="422" spans="17:27" x14ac:dyDescent="0.3">
      <c r="Q422" s="51"/>
      <c r="S422" s="45"/>
      <c r="T422" s="45"/>
      <c r="U422" s="45"/>
      <c r="V422" s="45"/>
      <c r="W422" s="51"/>
      <c r="AA422" s="45"/>
    </row>
    <row r="423" spans="17:27" x14ac:dyDescent="0.3">
      <c r="Q423" s="51"/>
      <c r="S423" s="45"/>
      <c r="T423" s="45"/>
      <c r="U423" s="45"/>
      <c r="V423" s="45"/>
      <c r="W423" s="51"/>
      <c r="AA423" s="45"/>
    </row>
    <row r="424" spans="17:27" x14ac:dyDescent="0.3">
      <c r="Q424" s="51"/>
      <c r="S424" s="45"/>
      <c r="T424" s="45"/>
      <c r="U424" s="45"/>
      <c r="V424" s="45"/>
      <c r="W424" s="51"/>
      <c r="AA424" s="45"/>
    </row>
    <row r="425" spans="17:27" x14ac:dyDescent="0.3">
      <c r="Q425" s="51"/>
      <c r="S425" s="45"/>
      <c r="T425" s="45"/>
      <c r="U425" s="45"/>
      <c r="V425" s="45"/>
      <c r="W425" s="51"/>
      <c r="AA425" s="45"/>
    </row>
    <row r="426" spans="17:27" x14ac:dyDescent="0.3">
      <c r="Q426" s="51"/>
      <c r="S426" s="45"/>
      <c r="T426" s="45"/>
      <c r="U426" s="45"/>
      <c r="V426" s="45"/>
      <c r="W426" s="51"/>
      <c r="AA426" s="45"/>
    </row>
    <row r="427" spans="17:27" x14ac:dyDescent="0.3">
      <c r="Q427" s="51"/>
      <c r="S427" s="45"/>
      <c r="T427" s="45"/>
      <c r="U427" s="45"/>
      <c r="V427" s="45"/>
      <c r="W427" s="51"/>
      <c r="AA427" s="45"/>
    </row>
    <row r="428" spans="17:27" x14ac:dyDescent="0.3">
      <c r="Q428" s="51"/>
      <c r="S428" s="45"/>
      <c r="T428" s="45"/>
      <c r="U428" s="45"/>
      <c r="V428" s="45"/>
      <c r="W428" s="51"/>
      <c r="AA428" s="45"/>
    </row>
    <row r="429" spans="17:27" x14ac:dyDescent="0.3">
      <c r="Q429" s="51"/>
      <c r="S429" s="45"/>
      <c r="T429" s="45"/>
      <c r="U429" s="45"/>
      <c r="V429" s="45"/>
      <c r="W429" s="51"/>
      <c r="AA429" s="45"/>
    </row>
    <row r="430" spans="17:27" x14ac:dyDescent="0.3">
      <c r="Q430" s="51"/>
      <c r="S430" s="45"/>
      <c r="T430" s="45"/>
      <c r="U430" s="45"/>
      <c r="V430" s="45"/>
      <c r="W430" s="51"/>
      <c r="AA430" s="45"/>
    </row>
    <row r="431" spans="17:27" x14ac:dyDescent="0.3">
      <c r="Q431" s="51"/>
      <c r="S431" s="45"/>
      <c r="T431" s="45"/>
      <c r="U431" s="45"/>
      <c r="V431" s="45"/>
      <c r="W431" s="51"/>
      <c r="AA431" s="45"/>
    </row>
    <row r="432" spans="17:27" x14ac:dyDescent="0.3">
      <c r="Q432" s="51"/>
      <c r="S432" s="45"/>
      <c r="T432" s="45"/>
      <c r="U432" s="45"/>
      <c r="V432" s="45"/>
      <c r="W432" s="51"/>
      <c r="AA432" s="45"/>
    </row>
    <row r="433" spans="17:27" x14ac:dyDescent="0.3">
      <c r="Q433" s="51"/>
      <c r="S433" s="45"/>
      <c r="T433" s="45"/>
      <c r="U433" s="45"/>
      <c r="V433" s="45"/>
      <c r="W433" s="51"/>
      <c r="AA433" s="45"/>
    </row>
    <row r="434" spans="17:27" x14ac:dyDescent="0.3">
      <c r="Q434" s="51"/>
      <c r="S434" s="45"/>
      <c r="T434" s="45"/>
      <c r="U434" s="45"/>
      <c r="V434" s="45"/>
      <c r="W434" s="51"/>
      <c r="AA434" s="45"/>
    </row>
    <row r="435" spans="17:27" x14ac:dyDescent="0.3">
      <c r="Q435" s="51"/>
      <c r="S435" s="45"/>
      <c r="T435" s="45"/>
      <c r="U435" s="45"/>
      <c r="V435" s="45"/>
      <c r="W435" s="51"/>
      <c r="AA435" s="45"/>
    </row>
    <row r="436" spans="17:27" x14ac:dyDescent="0.3">
      <c r="Q436" s="51"/>
      <c r="S436" s="45"/>
      <c r="T436" s="45"/>
      <c r="U436" s="45"/>
      <c r="V436" s="45"/>
      <c r="W436" s="51"/>
      <c r="AA436" s="45"/>
    </row>
    <row r="437" spans="17:27" x14ac:dyDescent="0.3">
      <c r="Q437" s="51"/>
      <c r="S437" s="45"/>
      <c r="T437" s="45"/>
      <c r="U437" s="45"/>
      <c r="V437" s="45"/>
      <c r="W437" s="51"/>
      <c r="AA437" s="45"/>
    </row>
    <row r="438" spans="17:27" x14ac:dyDescent="0.3">
      <c r="Q438" s="51"/>
      <c r="S438" s="45"/>
      <c r="T438" s="45"/>
      <c r="U438" s="45"/>
      <c r="V438" s="45"/>
      <c r="W438" s="51"/>
      <c r="AA438" s="45"/>
    </row>
    <row r="439" spans="17:27" x14ac:dyDescent="0.3">
      <c r="Q439" s="51"/>
      <c r="S439" s="45"/>
      <c r="T439" s="45"/>
      <c r="U439" s="45"/>
      <c r="V439" s="45"/>
      <c r="W439" s="51"/>
      <c r="AA439" s="45"/>
    </row>
    <row r="440" spans="17:27" x14ac:dyDescent="0.3">
      <c r="Q440" s="51"/>
      <c r="S440" s="45"/>
      <c r="T440" s="45"/>
      <c r="U440" s="45"/>
      <c r="V440" s="45"/>
      <c r="W440" s="51"/>
      <c r="AA440" s="45"/>
    </row>
    <row r="441" spans="17:27" x14ac:dyDescent="0.3">
      <c r="Q441" s="51"/>
      <c r="S441" s="45"/>
      <c r="T441" s="45"/>
      <c r="U441" s="45"/>
      <c r="V441" s="45"/>
      <c r="W441" s="51"/>
      <c r="AA441" s="45"/>
    </row>
    <row r="442" spans="17:27" x14ac:dyDescent="0.3">
      <c r="Q442" s="51"/>
      <c r="S442" s="45"/>
      <c r="T442" s="45"/>
      <c r="U442" s="45"/>
      <c r="V442" s="45"/>
      <c r="W442" s="51"/>
      <c r="AA442" s="45"/>
    </row>
    <row r="443" spans="17:27" x14ac:dyDescent="0.3">
      <c r="Q443" s="51"/>
      <c r="S443" s="45"/>
      <c r="T443" s="45"/>
      <c r="U443" s="45"/>
      <c r="V443" s="45"/>
      <c r="W443" s="51"/>
      <c r="AA443" s="45"/>
    </row>
    <row r="444" spans="17:27" x14ac:dyDescent="0.3">
      <c r="Q444" s="51"/>
      <c r="S444" s="45"/>
      <c r="T444" s="45"/>
      <c r="U444" s="45"/>
      <c r="V444" s="45"/>
      <c r="W444" s="51"/>
      <c r="AA444" s="45"/>
    </row>
    <row r="445" spans="17:27" x14ac:dyDescent="0.3">
      <c r="Q445" s="51"/>
      <c r="S445" s="45"/>
      <c r="T445" s="45"/>
      <c r="U445" s="45"/>
      <c r="V445" s="45"/>
      <c r="W445" s="51"/>
      <c r="AA445" s="45"/>
    </row>
    <row r="446" spans="17:27" x14ac:dyDescent="0.3">
      <c r="Q446" s="51"/>
      <c r="S446" s="45"/>
      <c r="T446" s="45"/>
      <c r="U446" s="45"/>
      <c r="V446" s="45"/>
      <c r="W446" s="51"/>
      <c r="AA446" s="45"/>
    </row>
    <row r="447" spans="17:27" x14ac:dyDescent="0.3">
      <c r="Q447" s="51"/>
      <c r="S447" s="45"/>
      <c r="T447" s="45"/>
      <c r="U447" s="45"/>
      <c r="V447" s="45"/>
      <c r="W447" s="51"/>
      <c r="AA447" s="45"/>
    </row>
    <row r="448" spans="17:27" x14ac:dyDescent="0.3">
      <c r="Q448" s="51"/>
      <c r="S448" s="45"/>
      <c r="T448" s="45"/>
      <c r="U448" s="45"/>
      <c r="V448" s="45"/>
      <c r="W448" s="51"/>
      <c r="AA448" s="45"/>
    </row>
    <row r="449" spans="17:27" x14ac:dyDescent="0.3">
      <c r="Q449" s="51"/>
      <c r="S449" s="45"/>
      <c r="T449" s="45"/>
      <c r="U449" s="45"/>
      <c r="V449" s="45"/>
      <c r="W449" s="51"/>
      <c r="AA449" s="45"/>
    </row>
    <row r="450" spans="17:27" x14ac:dyDescent="0.3">
      <c r="Q450" s="51"/>
      <c r="S450" s="45"/>
      <c r="T450" s="45"/>
      <c r="U450" s="45"/>
      <c r="V450" s="45"/>
      <c r="W450" s="51"/>
      <c r="AA450" s="45"/>
    </row>
    <row r="451" spans="17:27" x14ac:dyDescent="0.3">
      <c r="Q451" s="51"/>
      <c r="S451" s="45"/>
      <c r="T451" s="45"/>
      <c r="U451" s="45"/>
      <c r="V451" s="45"/>
      <c r="W451" s="51"/>
      <c r="AA451" s="45"/>
    </row>
    <row r="452" spans="17:27" x14ac:dyDescent="0.3">
      <c r="Q452" s="51"/>
      <c r="S452" s="45"/>
      <c r="T452" s="45"/>
      <c r="U452" s="45"/>
      <c r="V452" s="45"/>
      <c r="W452" s="51"/>
      <c r="AA452" s="45"/>
    </row>
    <row r="453" spans="17:27" x14ac:dyDescent="0.3">
      <c r="Q453" s="51"/>
      <c r="S453" s="45"/>
      <c r="T453" s="45"/>
      <c r="U453" s="45"/>
      <c r="V453" s="45"/>
      <c r="W453" s="51"/>
      <c r="AA453" s="45"/>
    </row>
    <row r="454" spans="17:27" x14ac:dyDescent="0.3">
      <c r="Q454" s="51"/>
      <c r="S454" s="45"/>
      <c r="T454" s="45"/>
      <c r="U454" s="45"/>
      <c r="V454" s="45"/>
      <c r="W454" s="51"/>
      <c r="AA454" s="45"/>
    </row>
    <row r="455" spans="17:27" x14ac:dyDescent="0.3">
      <c r="Q455" s="51"/>
      <c r="S455" s="45"/>
      <c r="T455" s="45"/>
      <c r="U455" s="45"/>
      <c r="V455" s="45"/>
      <c r="W455" s="51"/>
      <c r="AA455" s="45"/>
    </row>
    <row r="456" spans="17:27" x14ac:dyDescent="0.3">
      <c r="Q456" s="51"/>
      <c r="S456" s="45"/>
      <c r="T456" s="45"/>
      <c r="U456" s="45"/>
      <c r="V456" s="45"/>
      <c r="W456" s="51"/>
      <c r="AA456" s="45"/>
    </row>
    <row r="457" spans="17:27" x14ac:dyDescent="0.3">
      <c r="Q457" s="51"/>
      <c r="S457" s="45"/>
      <c r="T457" s="45"/>
      <c r="U457" s="45"/>
      <c r="V457" s="45"/>
      <c r="W457" s="51"/>
      <c r="AA457" s="45"/>
    </row>
    <row r="458" spans="17:27" x14ac:dyDescent="0.3">
      <c r="Q458" s="51"/>
      <c r="S458" s="45"/>
      <c r="T458" s="45"/>
      <c r="U458" s="45"/>
      <c r="V458" s="45"/>
      <c r="W458" s="51"/>
      <c r="AA458" s="45"/>
    </row>
    <row r="459" spans="17:27" x14ac:dyDescent="0.3">
      <c r="Q459" s="51"/>
      <c r="S459" s="45"/>
      <c r="T459" s="45"/>
      <c r="U459" s="45"/>
      <c r="V459" s="45"/>
      <c r="W459" s="51"/>
      <c r="AA459" s="45"/>
    </row>
    <row r="460" spans="17:27" x14ac:dyDescent="0.3">
      <c r="Q460" s="51"/>
      <c r="S460" s="45"/>
      <c r="T460" s="45"/>
      <c r="U460" s="45"/>
      <c r="V460" s="45"/>
      <c r="W460" s="51"/>
      <c r="AA460" s="45"/>
    </row>
    <row r="461" spans="17:27" x14ac:dyDescent="0.3">
      <c r="Q461" s="51"/>
      <c r="S461" s="45"/>
      <c r="T461" s="45"/>
      <c r="U461" s="45"/>
      <c r="V461" s="45"/>
      <c r="W461" s="51"/>
      <c r="AA461" s="45"/>
    </row>
    <row r="462" spans="17:27" x14ac:dyDescent="0.3">
      <c r="Q462" s="51"/>
      <c r="S462" s="45"/>
      <c r="T462" s="45"/>
      <c r="U462" s="45"/>
      <c r="V462" s="45"/>
      <c r="W462" s="51"/>
      <c r="AA462" s="45"/>
    </row>
    <row r="463" spans="17:27" x14ac:dyDescent="0.3">
      <c r="Q463" s="51"/>
      <c r="S463" s="45"/>
      <c r="T463" s="45"/>
      <c r="U463" s="45"/>
      <c r="V463" s="45"/>
      <c r="W463" s="51"/>
      <c r="AA463" s="45"/>
    </row>
    <row r="464" spans="17:27" x14ac:dyDescent="0.3">
      <c r="Q464" s="51"/>
      <c r="S464" s="45"/>
      <c r="T464" s="45"/>
      <c r="U464" s="45"/>
      <c r="V464" s="45"/>
      <c r="W464" s="51"/>
      <c r="AA464" s="45"/>
    </row>
    <row r="465" spans="17:27" x14ac:dyDescent="0.3">
      <c r="Q465" s="51"/>
      <c r="S465" s="45"/>
      <c r="T465" s="45"/>
      <c r="U465" s="45"/>
      <c r="V465" s="45"/>
      <c r="W465" s="51"/>
      <c r="AA465" s="45"/>
    </row>
    <row r="466" spans="17:27" x14ac:dyDescent="0.3">
      <c r="Q466" s="51"/>
      <c r="S466" s="45"/>
      <c r="T466" s="45"/>
      <c r="U466" s="45"/>
      <c r="V466" s="45"/>
      <c r="W466" s="51"/>
      <c r="AA466" s="45"/>
    </row>
    <row r="467" spans="17:27" x14ac:dyDescent="0.3">
      <c r="Q467" s="51"/>
      <c r="S467" s="45"/>
      <c r="T467" s="45"/>
      <c r="U467" s="45"/>
      <c r="V467" s="45"/>
      <c r="W467" s="51"/>
      <c r="AA467" s="45"/>
    </row>
    <row r="468" spans="17:27" x14ac:dyDescent="0.3">
      <c r="Q468" s="51"/>
      <c r="S468" s="45"/>
      <c r="T468" s="45"/>
      <c r="U468" s="45"/>
      <c r="V468" s="45"/>
      <c r="W468" s="51"/>
      <c r="AA468" s="45"/>
    </row>
    <row r="469" spans="17:27" x14ac:dyDescent="0.3">
      <c r="Q469" s="51"/>
      <c r="S469" s="45"/>
      <c r="T469" s="45"/>
      <c r="U469" s="45"/>
      <c r="V469" s="45"/>
      <c r="W469" s="51"/>
      <c r="AA469" s="45"/>
    </row>
    <row r="470" spans="17:27" x14ac:dyDescent="0.3">
      <c r="Q470" s="51"/>
      <c r="S470" s="45"/>
      <c r="T470" s="45"/>
      <c r="U470" s="45"/>
      <c r="V470" s="45"/>
      <c r="W470" s="51"/>
      <c r="AA470" s="45"/>
    </row>
    <row r="471" spans="17:27" x14ac:dyDescent="0.3">
      <c r="Q471" s="51"/>
      <c r="S471" s="45"/>
      <c r="T471" s="45"/>
      <c r="U471" s="45"/>
      <c r="V471" s="45"/>
      <c r="W471" s="51"/>
      <c r="AA471" s="45"/>
    </row>
    <row r="472" spans="17:27" x14ac:dyDescent="0.3">
      <c r="Q472" s="51"/>
      <c r="S472" s="45"/>
      <c r="T472" s="45"/>
      <c r="U472" s="45"/>
      <c r="V472" s="45"/>
      <c r="W472" s="51"/>
      <c r="AA472" s="45"/>
    </row>
    <row r="473" spans="17:27" x14ac:dyDescent="0.3">
      <c r="Q473" s="51"/>
      <c r="S473" s="45"/>
      <c r="T473" s="45"/>
      <c r="U473" s="45"/>
      <c r="V473" s="45"/>
      <c r="W473" s="51"/>
      <c r="AA473" s="45"/>
    </row>
    <row r="474" spans="17:27" x14ac:dyDescent="0.3">
      <c r="Q474" s="51"/>
      <c r="S474" s="45"/>
      <c r="T474" s="45"/>
      <c r="U474" s="45"/>
      <c r="V474" s="45"/>
      <c r="W474" s="51"/>
      <c r="AA474" s="45"/>
    </row>
    <row r="475" spans="17:27" x14ac:dyDescent="0.3">
      <c r="Q475" s="51"/>
      <c r="S475" s="45"/>
      <c r="T475" s="45"/>
      <c r="U475" s="45"/>
      <c r="V475" s="45"/>
      <c r="W475" s="51"/>
      <c r="AA475" s="45"/>
    </row>
    <row r="476" spans="17:27" x14ac:dyDescent="0.3">
      <c r="Q476" s="51"/>
      <c r="S476" s="45"/>
      <c r="T476" s="45"/>
      <c r="U476" s="45"/>
      <c r="V476" s="45"/>
      <c r="W476" s="51"/>
      <c r="AA476" s="45"/>
    </row>
    <row r="477" spans="17:27" x14ac:dyDescent="0.3">
      <c r="Q477" s="51"/>
      <c r="S477" s="45"/>
      <c r="T477" s="45"/>
      <c r="U477" s="45"/>
      <c r="V477" s="45"/>
      <c r="W477" s="51"/>
      <c r="AA477" s="45"/>
    </row>
    <row r="478" spans="17:27" x14ac:dyDescent="0.3">
      <c r="Q478" s="51"/>
      <c r="S478" s="45"/>
      <c r="T478" s="45"/>
      <c r="U478" s="45"/>
      <c r="V478" s="45"/>
      <c r="W478" s="51"/>
      <c r="AA478" s="45"/>
    </row>
    <row r="479" spans="17:27" x14ac:dyDescent="0.3">
      <c r="Q479" s="51"/>
      <c r="S479" s="45"/>
      <c r="T479" s="45"/>
      <c r="U479" s="45"/>
      <c r="V479" s="45"/>
      <c r="W479" s="51"/>
      <c r="AA479" s="45"/>
    </row>
    <row r="480" spans="17:27" x14ac:dyDescent="0.3">
      <c r="Q480" s="51"/>
      <c r="S480" s="45"/>
      <c r="T480" s="45"/>
      <c r="U480" s="45"/>
      <c r="V480" s="45"/>
      <c r="W480" s="51"/>
      <c r="AA480" s="45"/>
    </row>
    <row r="481" spans="17:27" x14ac:dyDescent="0.3">
      <c r="Q481" s="51"/>
      <c r="S481" s="45"/>
      <c r="T481" s="45"/>
      <c r="U481" s="45"/>
      <c r="V481" s="45"/>
      <c r="W481" s="51"/>
      <c r="AA481" s="45"/>
    </row>
    <row r="482" spans="17:27" x14ac:dyDescent="0.3">
      <c r="Q482" s="51"/>
      <c r="S482" s="45"/>
      <c r="T482" s="45"/>
      <c r="U482" s="45"/>
      <c r="V482" s="45"/>
      <c r="W482" s="51"/>
      <c r="AA482" s="45"/>
    </row>
    <row r="483" spans="17:27" x14ac:dyDescent="0.3">
      <c r="Q483" s="51"/>
      <c r="S483" s="45"/>
      <c r="T483" s="45"/>
      <c r="U483" s="45"/>
      <c r="V483" s="45"/>
      <c r="W483" s="51"/>
      <c r="AA483" s="45"/>
    </row>
    <row r="484" spans="17:27" x14ac:dyDescent="0.3">
      <c r="Q484" s="51"/>
      <c r="S484" s="45"/>
      <c r="T484" s="45"/>
      <c r="U484" s="45"/>
      <c r="V484" s="45"/>
      <c r="W484" s="51"/>
      <c r="AA484" s="45"/>
    </row>
    <row r="485" spans="17:27" x14ac:dyDescent="0.3">
      <c r="Q485" s="51"/>
      <c r="S485" s="45"/>
      <c r="T485" s="45"/>
      <c r="U485" s="45"/>
      <c r="V485" s="45"/>
      <c r="W485" s="51"/>
      <c r="AA485" s="45"/>
    </row>
    <row r="486" spans="17:27" x14ac:dyDescent="0.3">
      <c r="Q486" s="51"/>
      <c r="S486" s="45"/>
      <c r="T486" s="45"/>
      <c r="U486" s="45"/>
      <c r="V486" s="45"/>
      <c r="W486" s="51"/>
      <c r="AA486" s="45"/>
    </row>
    <row r="487" spans="17:27" x14ac:dyDescent="0.3">
      <c r="Q487" s="51"/>
      <c r="S487" s="45"/>
      <c r="T487" s="45"/>
      <c r="U487" s="45"/>
      <c r="V487" s="45"/>
      <c r="W487" s="51"/>
      <c r="AA487" s="45"/>
    </row>
    <row r="488" spans="17:27" x14ac:dyDescent="0.3">
      <c r="Q488" s="51"/>
      <c r="S488" s="45"/>
      <c r="T488" s="45"/>
      <c r="U488" s="45"/>
      <c r="V488" s="45"/>
      <c r="W488" s="51"/>
      <c r="AA488" s="45"/>
    </row>
    <row r="489" spans="17:27" x14ac:dyDescent="0.3">
      <c r="Q489" s="51"/>
      <c r="S489" s="45"/>
      <c r="T489" s="45"/>
      <c r="U489" s="45"/>
      <c r="V489" s="45"/>
      <c r="W489" s="51"/>
      <c r="AA489" s="45"/>
    </row>
    <row r="490" spans="17:27" x14ac:dyDescent="0.3">
      <c r="Q490" s="51"/>
      <c r="S490" s="45"/>
      <c r="T490" s="45"/>
      <c r="U490" s="45"/>
      <c r="V490" s="45"/>
      <c r="W490" s="51"/>
      <c r="AA490" s="45"/>
    </row>
    <row r="491" spans="17:27" x14ac:dyDescent="0.3">
      <c r="Q491" s="51"/>
      <c r="S491" s="45"/>
      <c r="T491" s="45"/>
      <c r="U491" s="45"/>
      <c r="V491" s="45"/>
      <c r="W491" s="51"/>
      <c r="AA491" s="45"/>
    </row>
    <row r="492" spans="17:27" x14ac:dyDescent="0.3">
      <c r="Q492" s="51"/>
      <c r="S492" s="45"/>
      <c r="T492" s="45"/>
      <c r="U492" s="45"/>
      <c r="V492" s="45"/>
      <c r="W492" s="51"/>
      <c r="AA492" s="45"/>
    </row>
    <row r="493" spans="17:27" x14ac:dyDescent="0.3">
      <c r="Q493" s="51"/>
      <c r="S493" s="45"/>
      <c r="T493" s="45"/>
      <c r="U493" s="45"/>
      <c r="V493" s="45"/>
      <c r="W493" s="51"/>
      <c r="AA493" s="45"/>
    </row>
    <row r="494" spans="17:27" x14ac:dyDescent="0.3">
      <c r="Q494" s="51"/>
      <c r="S494" s="45"/>
      <c r="T494" s="45"/>
      <c r="U494" s="45"/>
      <c r="V494" s="45"/>
      <c r="W494" s="51"/>
      <c r="AA494" s="45"/>
    </row>
    <row r="495" spans="17:27" x14ac:dyDescent="0.3">
      <c r="Q495" s="51"/>
      <c r="S495" s="45"/>
      <c r="T495" s="45"/>
      <c r="U495" s="45"/>
      <c r="V495" s="45"/>
      <c r="W495" s="51"/>
      <c r="AA495" s="45"/>
    </row>
    <row r="496" spans="17:27" x14ac:dyDescent="0.3">
      <c r="Q496" s="51"/>
      <c r="S496" s="45"/>
      <c r="T496" s="45"/>
      <c r="U496" s="45"/>
      <c r="V496" s="45"/>
      <c r="W496" s="51"/>
      <c r="AA496" s="45"/>
    </row>
    <row r="497" spans="17:27" x14ac:dyDescent="0.3">
      <c r="Q497" s="51"/>
      <c r="S497" s="45"/>
      <c r="T497" s="45"/>
      <c r="U497" s="45"/>
      <c r="V497" s="45"/>
      <c r="W497" s="51"/>
      <c r="AA497" s="45"/>
    </row>
    <row r="498" spans="17:27" x14ac:dyDescent="0.3">
      <c r="Q498" s="51"/>
      <c r="S498" s="45"/>
      <c r="T498" s="45"/>
      <c r="U498" s="45"/>
      <c r="V498" s="45"/>
      <c r="W498" s="51"/>
      <c r="AA498" s="45"/>
    </row>
    <row r="499" spans="17:27" x14ac:dyDescent="0.3">
      <c r="Q499" s="51"/>
      <c r="S499" s="45"/>
      <c r="T499" s="45"/>
      <c r="U499" s="45"/>
      <c r="V499" s="45"/>
      <c r="W499" s="51"/>
      <c r="AA499" s="45"/>
    </row>
    <row r="500" spans="17:27" x14ac:dyDescent="0.3">
      <c r="Q500" s="51"/>
      <c r="S500" s="45"/>
      <c r="T500" s="45"/>
      <c r="U500" s="45"/>
      <c r="V500" s="45"/>
      <c r="W500" s="51"/>
      <c r="AA500" s="45"/>
    </row>
    <row r="501" spans="17:27" x14ac:dyDescent="0.3">
      <c r="Q501" s="51"/>
      <c r="S501" s="45"/>
      <c r="T501" s="45"/>
      <c r="U501" s="45"/>
      <c r="V501" s="45"/>
      <c r="W501" s="51"/>
      <c r="AA501" s="45"/>
    </row>
    <row r="502" spans="17:27" x14ac:dyDescent="0.3">
      <c r="Q502" s="51"/>
      <c r="S502" s="45"/>
      <c r="T502" s="45"/>
      <c r="U502" s="45"/>
      <c r="V502" s="45"/>
      <c r="W502" s="51"/>
      <c r="AA502" s="45"/>
    </row>
    <row r="503" spans="17:27" x14ac:dyDescent="0.3">
      <c r="Q503" s="51"/>
      <c r="S503" s="45"/>
      <c r="T503" s="45"/>
      <c r="U503" s="45"/>
      <c r="V503" s="45"/>
      <c r="W503" s="51"/>
      <c r="AA503" s="45"/>
    </row>
    <row r="504" spans="17:27" x14ac:dyDescent="0.3">
      <c r="Q504" s="51"/>
      <c r="S504" s="45"/>
      <c r="T504" s="45"/>
      <c r="U504" s="45"/>
      <c r="V504" s="45"/>
      <c r="W504" s="51"/>
      <c r="AA504" s="45"/>
    </row>
    <row r="505" spans="17:27" x14ac:dyDescent="0.3">
      <c r="Q505" s="51"/>
      <c r="S505" s="45"/>
      <c r="T505" s="45"/>
      <c r="U505" s="45"/>
      <c r="V505" s="45"/>
      <c r="W505" s="51"/>
      <c r="AA505" s="45"/>
    </row>
    <row r="506" spans="17:27" x14ac:dyDescent="0.3">
      <c r="Q506" s="51"/>
      <c r="S506" s="45"/>
      <c r="T506" s="45"/>
      <c r="U506" s="45"/>
      <c r="V506" s="45"/>
      <c r="W506" s="51"/>
      <c r="AA506" s="45"/>
    </row>
    <row r="507" spans="17:27" x14ac:dyDescent="0.3">
      <c r="Q507" s="51"/>
      <c r="S507" s="45"/>
      <c r="T507" s="45"/>
      <c r="U507" s="45"/>
      <c r="V507" s="45"/>
      <c r="W507" s="51"/>
      <c r="AA507" s="45"/>
    </row>
    <row r="508" spans="17:27" x14ac:dyDescent="0.3">
      <c r="Q508" s="51"/>
      <c r="S508" s="45"/>
      <c r="T508" s="45"/>
      <c r="U508" s="45"/>
      <c r="V508" s="45"/>
      <c r="W508" s="51"/>
      <c r="AA508" s="45"/>
    </row>
    <row r="509" spans="17:27" x14ac:dyDescent="0.3">
      <c r="Q509" s="51"/>
      <c r="S509" s="45"/>
      <c r="T509" s="45"/>
      <c r="U509" s="45"/>
      <c r="V509" s="45"/>
      <c r="W509" s="51"/>
      <c r="AA509" s="45"/>
    </row>
    <row r="510" spans="17:27" x14ac:dyDescent="0.3">
      <c r="Q510" s="51"/>
      <c r="S510" s="45"/>
      <c r="T510" s="45"/>
      <c r="U510" s="45"/>
      <c r="V510" s="45"/>
      <c r="W510" s="51"/>
      <c r="AA510" s="45"/>
    </row>
    <row r="511" spans="17:27" x14ac:dyDescent="0.3">
      <c r="Q511" s="51"/>
      <c r="S511" s="45"/>
      <c r="T511" s="45"/>
      <c r="U511" s="45"/>
      <c r="V511" s="45"/>
      <c r="W511" s="51"/>
      <c r="AA511" s="45"/>
    </row>
    <row r="512" spans="17:27" x14ac:dyDescent="0.3">
      <c r="Q512" s="51"/>
      <c r="S512" s="45"/>
      <c r="T512" s="45"/>
      <c r="U512" s="45"/>
      <c r="V512" s="45"/>
      <c r="W512" s="51"/>
      <c r="AA512" s="45"/>
    </row>
    <row r="513" spans="17:27" x14ac:dyDescent="0.3">
      <c r="Q513" s="51"/>
      <c r="S513" s="45"/>
      <c r="T513" s="45"/>
      <c r="U513" s="45"/>
      <c r="V513" s="45"/>
      <c r="W513" s="51"/>
      <c r="AA513" s="45"/>
    </row>
    <row r="514" spans="17:27" x14ac:dyDescent="0.3">
      <c r="Q514" s="51"/>
      <c r="S514" s="45"/>
      <c r="T514" s="45"/>
      <c r="U514" s="45"/>
      <c r="V514" s="45"/>
      <c r="W514" s="51"/>
      <c r="AA514" s="45"/>
    </row>
    <row r="515" spans="17:27" x14ac:dyDescent="0.3">
      <c r="Q515" s="51"/>
      <c r="S515" s="45"/>
      <c r="T515" s="45"/>
      <c r="U515" s="45"/>
      <c r="V515" s="45"/>
      <c r="W515" s="51"/>
      <c r="AA515" s="45"/>
    </row>
    <row r="516" spans="17:27" x14ac:dyDescent="0.3">
      <c r="Q516" s="51"/>
      <c r="S516" s="45"/>
      <c r="T516" s="45"/>
      <c r="U516" s="45"/>
      <c r="V516" s="45"/>
      <c r="W516" s="51"/>
      <c r="AA516" s="45"/>
    </row>
    <row r="517" spans="17:27" x14ac:dyDescent="0.3">
      <c r="Q517" s="51"/>
      <c r="S517" s="45"/>
      <c r="T517" s="45"/>
      <c r="U517" s="45"/>
      <c r="V517" s="45"/>
      <c r="W517" s="51"/>
      <c r="AA517" s="45"/>
    </row>
    <row r="518" spans="17:27" x14ac:dyDescent="0.3">
      <c r="Q518" s="51"/>
      <c r="S518" s="45"/>
      <c r="T518" s="45"/>
      <c r="U518" s="45"/>
      <c r="V518" s="45"/>
      <c r="W518" s="51"/>
      <c r="AA518" s="45"/>
    </row>
    <row r="519" spans="17:27" x14ac:dyDescent="0.3">
      <c r="Q519" s="51"/>
      <c r="S519" s="45"/>
      <c r="T519" s="45"/>
      <c r="U519" s="45"/>
      <c r="V519" s="45"/>
      <c r="W519" s="51"/>
      <c r="AA519" s="45"/>
    </row>
    <row r="520" spans="17:27" x14ac:dyDescent="0.3">
      <c r="Q520" s="51"/>
      <c r="S520" s="45"/>
      <c r="T520" s="45"/>
      <c r="U520" s="45"/>
      <c r="V520" s="45"/>
      <c r="W520" s="51"/>
      <c r="AA520" s="45"/>
    </row>
    <row r="521" spans="17:27" x14ac:dyDescent="0.3">
      <c r="Q521" s="51"/>
      <c r="S521" s="45"/>
      <c r="T521" s="45"/>
      <c r="U521" s="45"/>
      <c r="V521" s="45"/>
      <c r="W521" s="51"/>
      <c r="AA521" s="45"/>
    </row>
    <row r="522" spans="17:27" x14ac:dyDescent="0.3">
      <c r="Q522" s="51"/>
      <c r="S522" s="45"/>
      <c r="T522" s="45"/>
      <c r="U522" s="45"/>
      <c r="V522" s="45"/>
      <c r="W522" s="51"/>
      <c r="AA522" s="45"/>
    </row>
    <row r="523" spans="17:27" x14ac:dyDescent="0.3">
      <c r="Q523" s="51"/>
      <c r="S523" s="45"/>
      <c r="T523" s="45"/>
      <c r="U523" s="45"/>
      <c r="V523" s="45"/>
      <c r="W523" s="51"/>
      <c r="AA523" s="45"/>
    </row>
    <row r="524" spans="17:27" x14ac:dyDescent="0.3">
      <c r="Q524" s="51"/>
      <c r="S524" s="45"/>
      <c r="T524" s="45"/>
      <c r="U524" s="45"/>
      <c r="V524" s="45"/>
      <c r="W524" s="51"/>
      <c r="AA524" s="45"/>
    </row>
    <row r="525" spans="17:27" x14ac:dyDescent="0.3">
      <c r="Q525" s="51"/>
      <c r="S525" s="45"/>
      <c r="T525" s="45"/>
      <c r="U525" s="45"/>
      <c r="V525" s="45"/>
      <c r="W525" s="51"/>
      <c r="AA525" s="45"/>
    </row>
    <row r="526" spans="17:27" x14ac:dyDescent="0.3">
      <c r="Q526" s="51"/>
      <c r="S526" s="45"/>
      <c r="T526" s="45"/>
      <c r="U526" s="45"/>
      <c r="V526" s="45"/>
      <c r="W526" s="51"/>
      <c r="AA526" s="45"/>
    </row>
    <row r="527" spans="17:27" x14ac:dyDescent="0.3">
      <c r="Q527" s="51"/>
      <c r="S527" s="45"/>
      <c r="T527" s="45"/>
      <c r="U527" s="45"/>
      <c r="V527" s="45"/>
      <c r="W527" s="51"/>
      <c r="AA527" s="45"/>
    </row>
    <row r="528" spans="17:27" x14ac:dyDescent="0.3">
      <c r="Q528" s="51"/>
      <c r="S528" s="45"/>
      <c r="T528" s="45"/>
      <c r="U528" s="45"/>
      <c r="V528" s="45"/>
      <c r="W528" s="51"/>
      <c r="AA528" s="45"/>
    </row>
    <row r="529" spans="17:27" x14ac:dyDescent="0.3">
      <c r="Q529" s="51"/>
      <c r="S529" s="45"/>
      <c r="T529" s="45"/>
      <c r="U529" s="45"/>
      <c r="V529" s="45"/>
      <c r="W529" s="51"/>
      <c r="AA529" s="45"/>
    </row>
    <row r="530" spans="17:27" x14ac:dyDescent="0.3">
      <c r="Q530" s="51"/>
      <c r="S530" s="45"/>
      <c r="T530" s="45"/>
      <c r="U530" s="45"/>
      <c r="V530" s="45"/>
      <c r="W530" s="51"/>
      <c r="AA530" s="45"/>
    </row>
    <row r="531" spans="17:27" x14ac:dyDescent="0.3">
      <c r="Q531" s="51"/>
      <c r="S531" s="45"/>
      <c r="T531" s="45"/>
      <c r="U531" s="45"/>
      <c r="V531" s="45"/>
      <c r="W531" s="51"/>
      <c r="AA531" s="45"/>
    </row>
    <row r="532" spans="17:27" x14ac:dyDescent="0.3">
      <c r="Q532" s="51"/>
      <c r="S532" s="45"/>
      <c r="T532" s="45"/>
      <c r="U532" s="45"/>
      <c r="V532" s="45"/>
      <c r="W532" s="51"/>
      <c r="AA532" s="45"/>
    </row>
    <row r="533" spans="17:27" x14ac:dyDescent="0.3">
      <c r="Q533" s="51"/>
      <c r="S533" s="45"/>
      <c r="T533" s="45"/>
      <c r="U533" s="45"/>
      <c r="V533" s="45"/>
      <c r="W533" s="51"/>
      <c r="AA533" s="45"/>
    </row>
    <row r="534" spans="17:27" x14ac:dyDescent="0.3">
      <c r="Q534" s="51"/>
      <c r="S534" s="45"/>
      <c r="T534" s="45"/>
      <c r="U534" s="45"/>
      <c r="V534" s="45"/>
      <c r="W534" s="51"/>
      <c r="AA534" s="45"/>
    </row>
    <row r="535" spans="17:27" x14ac:dyDescent="0.3">
      <c r="Q535" s="51"/>
      <c r="S535" s="45"/>
      <c r="T535" s="45"/>
      <c r="U535" s="45"/>
      <c r="V535" s="45"/>
      <c r="W535" s="51"/>
      <c r="AA535" s="45"/>
    </row>
    <row r="536" spans="17:27" x14ac:dyDescent="0.3">
      <c r="Q536" s="51"/>
      <c r="S536" s="45"/>
      <c r="T536" s="45"/>
      <c r="U536" s="45"/>
      <c r="V536" s="45"/>
      <c r="W536" s="51"/>
      <c r="AA536" s="45"/>
    </row>
    <row r="537" spans="17:27" x14ac:dyDescent="0.3">
      <c r="Q537" s="51"/>
      <c r="S537" s="45"/>
      <c r="T537" s="45"/>
      <c r="U537" s="45"/>
      <c r="V537" s="45"/>
      <c r="W537" s="51"/>
      <c r="AA537" s="45"/>
    </row>
    <row r="538" spans="17:27" x14ac:dyDescent="0.3">
      <c r="Q538" s="51"/>
      <c r="S538" s="45"/>
      <c r="T538" s="45"/>
      <c r="U538" s="45"/>
      <c r="V538" s="45"/>
      <c r="W538" s="51"/>
      <c r="AA538" s="45"/>
    </row>
    <row r="539" spans="17:27" x14ac:dyDescent="0.3">
      <c r="Q539" s="51"/>
      <c r="S539" s="45"/>
      <c r="T539" s="45"/>
      <c r="U539" s="45"/>
      <c r="V539" s="45"/>
      <c r="W539" s="51"/>
      <c r="AA539" s="45"/>
    </row>
    <row r="540" spans="17:27" x14ac:dyDescent="0.3">
      <c r="Q540" s="51"/>
      <c r="S540" s="45"/>
      <c r="T540" s="45"/>
      <c r="U540" s="45"/>
      <c r="V540" s="45"/>
      <c r="W540" s="51"/>
      <c r="AA540" s="45"/>
    </row>
    <row r="541" spans="17:27" x14ac:dyDescent="0.3">
      <c r="Q541" s="51"/>
      <c r="S541" s="45"/>
      <c r="T541" s="45"/>
      <c r="U541" s="45"/>
      <c r="V541" s="45"/>
      <c r="W541" s="51"/>
      <c r="AA541" s="45"/>
    </row>
    <row r="542" spans="17:27" x14ac:dyDescent="0.3">
      <c r="Q542" s="51"/>
      <c r="S542" s="45"/>
      <c r="T542" s="45"/>
      <c r="U542" s="45"/>
      <c r="V542" s="45"/>
      <c r="W542" s="51"/>
      <c r="AA542" s="45"/>
    </row>
    <row r="543" spans="17:27" x14ac:dyDescent="0.3">
      <c r="Q543" s="51"/>
      <c r="S543" s="45"/>
      <c r="T543" s="45"/>
      <c r="U543" s="45"/>
      <c r="V543" s="45"/>
      <c r="W543" s="51"/>
      <c r="AA543" s="45"/>
    </row>
    <row r="544" spans="17:27" x14ac:dyDescent="0.3">
      <c r="Q544" s="51"/>
      <c r="S544" s="45"/>
      <c r="T544" s="45"/>
      <c r="U544" s="45"/>
      <c r="V544" s="45"/>
      <c r="W544" s="51"/>
      <c r="AA544" s="45"/>
    </row>
    <row r="545" spans="17:27" x14ac:dyDescent="0.3">
      <c r="Q545" s="51"/>
      <c r="S545" s="45"/>
      <c r="T545" s="45"/>
      <c r="U545" s="45"/>
      <c r="V545" s="45"/>
      <c r="W545" s="51"/>
      <c r="AA545" s="45"/>
    </row>
    <row r="546" spans="17:27" x14ac:dyDescent="0.3">
      <c r="Q546" s="51"/>
      <c r="S546" s="45"/>
      <c r="T546" s="45"/>
      <c r="U546" s="45"/>
      <c r="V546" s="45"/>
      <c r="W546" s="51"/>
      <c r="AA546" s="45"/>
    </row>
    <row r="547" spans="17:27" x14ac:dyDescent="0.3">
      <c r="Q547" s="51"/>
      <c r="S547" s="45"/>
      <c r="T547" s="45"/>
      <c r="U547" s="45"/>
      <c r="V547" s="45"/>
      <c r="W547" s="51"/>
      <c r="AA547" s="45"/>
    </row>
    <row r="548" spans="17:27" x14ac:dyDescent="0.3">
      <c r="Q548" s="51"/>
      <c r="S548" s="45"/>
      <c r="T548" s="45"/>
      <c r="U548" s="45"/>
      <c r="V548" s="45"/>
      <c r="W548" s="51"/>
      <c r="AA548" s="45"/>
    </row>
    <row r="549" spans="17:27" x14ac:dyDescent="0.3">
      <c r="Q549" s="51"/>
      <c r="S549" s="45"/>
      <c r="T549" s="45"/>
      <c r="U549" s="45"/>
      <c r="V549" s="45"/>
      <c r="W549" s="51"/>
      <c r="AA549" s="45"/>
    </row>
    <row r="550" spans="17:27" x14ac:dyDescent="0.3">
      <c r="Q550" s="51"/>
      <c r="S550" s="45"/>
      <c r="T550" s="45"/>
      <c r="U550" s="45"/>
      <c r="V550" s="45"/>
      <c r="W550" s="51"/>
      <c r="AA550" s="45"/>
    </row>
    <row r="551" spans="17:27" x14ac:dyDescent="0.3">
      <c r="Q551" s="51"/>
      <c r="S551" s="45"/>
      <c r="T551" s="45"/>
      <c r="U551" s="45"/>
      <c r="V551" s="45"/>
      <c r="W551" s="51"/>
      <c r="AA551" s="45"/>
    </row>
    <row r="552" spans="17:27" x14ac:dyDescent="0.3">
      <c r="Q552" s="51"/>
      <c r="S552" s="45"/>
      <c r="T552" s="45"/>
      <c r="U552" s="45"/>
      <c r="V552" s="45"/>
      <c r="W552" s="51"/>
      <c r="AA552" s="45"/>
    </row>
    <row r="553" spans="17:27" x14ac:dyDescent="0.3">
      <c r="Q553" s="51"/>
      <c r="S553" s="45"/>
      <c r="T553" s="45"/>
      <c r="U553" s="45"/>
      <c r="V553" s="45"/>
      <c r="W553" s="51"/>
      <c r="AA553" s="45"/>
    </row>
    <row r="554" spans="17:27" x14ac:dyDescent="0.3">
      <c r="Q554" s="51"/>
      <c r="S554" s="45"/>
      <c r="T554" s="45"/>
      <c r="U554" s="45"/>
      <c r="V554" s="45"/>
      <c r="W554" s="51"/>
      <c r="AA554" s="45"/>
    </row>
    <row r="555" spans="17:27" x14ac:dyDescent="0.3">
      <c r="Q555" s="51"/>
      <c r="S555" s="45"/>
      <c r="T555" s="45"/>
      <c r="U555" s="45"/>
      <c r="V555" s="45"/>
      <c r="W555" s="51"/>
      <c r="AA555" s="45"/>
    </row>
    <row r="556" spans="17:27" x14ac:dyDescent="0.3">
      <c r="Q556" s="51"/>
      <c r="S556" s="45"/>
      <c r="T556" s="45"/>
      <c r="U556" s="45"/>
      <c r="V556" s="45"/>
      <c r="W556" s="51"/>
      <c r="AA556" s="45"/>
    </row>
    <row r="557" spans="17:27" x14ac:dyDescent="0.3">
      <c r="Q557" s="51"/>
      <c r="S557" s="45"/>
      <c r="T557" s="45"/>
      <c r="U557" s="45"/>
      <c r="V557" s="45"/>
      <c r="W557" s="51"/>
      <c r="AA557" s="45"/>
    </row>
    <row r="558" spans="17:27" x14ac:dyDescent="0.3">
      <c r="Q558" s="51"/>
      <c r="S558" s="45"/>
      <c r="T558" s="45"/>
      <c r="U558" s="45"/>
      <c r="V558" s="45"/>
      <c r="W558" s="51"/>
      <c r="AA558" s="45"/>
    </row>
    <row r="559" spans="17:27" x14ac:dyDescent="0.3">
      <c r="Q559" s="51"/>
      <c r="S559" s="45"/>
      <c r="T559" s="45"/>
      <c r="U559" s="45"/>
      <c r="V559" s="45"/>
      <c r="W559" s="51"/>
      <c r="AA559" s="45"/>
    </row>
    <row r="560" spans="17:27" x14ac:dyDescent="0.3">
      <c r="Q560" s="51"/>
      <c r="S560" s="45"/>
      <c r="T560" s="45"/>
      <c r="U560" s="45"/>
      <c r="V560" s="45"/>
      <c r="W560" s="51"/>
      <c r="AA560" s="45"/>
    </row>
    <row r="561" spans="17:27" x14ac:dyDescent="0.3">
      <c r="Q561" s="51"/>
      <c r="S561" s="45"/>
      <c r="T561" s="45"/>
      <c r="U561" s="45"/>
      <c r="V561" s="45"/>
      <c r="W561" s="51"/>
      <c r="AA561" s="45"/>
    </row>
    <row r="562" spans="17:27" x14ac:dyDescent="0.3">
      <c r="Q562" s="51"/>
      <c r="S562" s="45"/>
      <c r="T562" s="45"/>
      <c r="U562" s="45"/>
      <c r="V562" s="45"/>
      <c r="W562" s="51"/>
      <c r="AA562" s="45"/>
    </row>
    <row r="563" spans="17:27" x14ac:dyDescent="0.3">
      <c r="Q563" s="51"/>
      <c r="S563" s="45"/>
      <c r="T563" s="45"/>
      <c r="U563" s="45"/>
      <c r="V563" s="45"/>
      <c r="W563" s="51"/>
      <c r="AA563" s="45"/>
    </row>
    <row r="564" spans="17:27" x14ac:dyDescent="0.3">
      <c r="Q564" s="51"/>
      <c r="S564" s="45"/>
      <c r="T564" s="45"/>
      <c r="U564" s="45"/>
      <c r="V564" s="45"/>
      <c r="W564" s="51"/>
      <c r="AA564" s="45"/>
    </row>
    <row r="565" spans="17:27" x14ac:dyDescent="0.3">
      <c r="Q565" s="51"/>
      <c r="S565" s="45"/>
      <c r="T565" s="45"/>
      <c r="U565" s="45"/>
      <c r="V565" s="45"/>
      <c r="W565" s="51"/>
      <c r="AA565" s="45"/>
    </row>
    <row r="566" spans="17:27" x14ac:dyDescent="0.3">
      <c r="Q566" s="51"/>
      <c r="S566" s="45"/>
      <c r="T566" s="45"/>
      <c r="U566" s="45"/>
      <c r="V566" s="45"/>
      <c r="W566" s="51"/>
      <c r="AA566" s="45"/>
    </row>
    <row r="567" spans="17:27" x14ac:dyDescent="0.3">
      <c r="Q567" s="51"/>
      <c r="S567" s="45"/>
      <c r="T567" s="45"/>
      <c r="U567" s="45"/>
      <c r="V567" s="45"/>
      <c r="W567" s="51"/>
      <c r="AA567" s="45"/>
    </row>
    <row r="568" spans="17:27" x14ac:dyDescent="0.3">
      <c r="Q568" s="51"/>
      <c r="S568" s="45"/>
      <c r="T568" s="45"/>
      <c r="U568" s="45"/>
      <c r="V568" s="45"/>
      <c r="W568" s="51"/>
      <c r="AA568" s="45"/>
    </row>
    <row r="569" spans="17:27" x14ac:dyDescent="0.3">
      <c r="Q569" s="51"/>
      <c r="S569" s="45"/>
      <c r="T569" s="45"/>
      <c r="U569" s="45"/>
      <c r="V569" s="45"/>
      <c r="W569" s="51"/>
      <c r="AA569" s="45"/>
    </row>
    <row r="570" spans="17:27" x14ac:dyDescent="0.3">
      <c r="Q570" s="51"/>
      <c r="S570" s="45"/>
      <c r="T570" s="45"/>
      <c r="U570" s="45"/>
      <c r="V570" s="45"/>
      <c r="W570" s="51"/>
      <c r="AA570" s="45"/>
    </row>
    <row r="571" spans="17:27" x14ac:dyDescent="0.3">
      <c r="Q571" s="51"/>
      <c r="S571" s="45"/>
      <c r="T571" s="45"/>
      <c r="U571" s="45"/>
      <c r="V571" s="45"/>
      <c r="W571" s="51"/>
      <c r="AA571" s="45"/>
    </row>
    <row r="572" spans="17:27" x14ac:dyDescent="0.3">
      <c r="Q572" s="51"/>
      <c r="S572" s="45"/>
      <c r="T572" s="45"/>
      <c r="U572" s="45"/>
      <c r="V572" s="45"/>
      <c r="W572" s="51"/>
      <c r="AA572" s="45"/>
    </row>
    <row r="573" spans="17:27" x14ac:dyDescent="0.3">
      <c r="Q573" s="51"/>
      <c r="S573" s="45"/>
      <c r="T573" s="45"/>
      <c r="U573" s="45"/>
      <c r="V573" s="45"/>
      <c r="W573" s="51"/>
      <c r="AA573" s="45"/>
    </row>
    <row r="574" spans="17:27" x14ac:dyDescent="0.3">
      <c r="Q574" s="51"/>
      <c r="S574" s="45"/>
      <c r="T574" s="45"/>
      <c r="U574" s="45"/>
      <c r="V574" s="45"/>
      <c r="W574" s="51"/>
      <c r="AA574" s="45"/>
    </row>
    <row r="575" spans="17:27" x14ac:dyDescent="0.3">
      <c r="Q575" s="51"/>
      <c r="S575" s="45"/>
      <c r="T575" s="45"/>
      <c r="U575" s="45"/>
      <c r="V575" s="45"/>
      <c r="W575" s="51"/>
      <c r="AA575" s="45"/>
    </row>
    <row r="576" spans="17:27" x14ac:dyDescent="0.3">
      <c r="Q576" s="51"/>
      <c r="S576" s="45"/>
      <c r="T576" s="45"/>
      <c r="U576" s="45"/>
      <c r="V576" s="45"/>
      <c r="W576" s="51"/>
      <c r="AA576" s="45"/>
    </row>
    <row r="577" spans="17:27" x14ac:dyDescent="0.3">
      <c r="Q577" s="51"/>
      <c r="S577" s="45"/>
      <c r="T577" s="45"/>
      <c r="U577" s="45"/>
      <c r="V577" s="45"/>
      <c r="W577" s="51"/>
      <c r="AA577" s="45"/>
    </row>
    <row r="578" spans="17:27" x14ac:dyDescent="0.3">
      <c r="Q578" s="51"/>
      <c r="S578" s="45"/>
      <c r="T578" s="45"/>
      <c r="U578" s="45"/>
      <c r="V578" s="45"/>
      <c r="W578" s="51"/>
      <c r="AA578" s="45"/>
    </row>
    <row r="579" spans="17:27" x14ac:dyDescent="0.3">
      <c r="Q579" s="51"/>
      <c r="S579" s="45"/>
      <c r="T579" s="45"/>
      <c r="U579" s="45"/>
      <c r="V579" s="45"/>
      <c r="W579" s="51"/>
      <c r="AA579" s="45"/>
    </row>
    <row r="580" spans="17:27" x14ac:dyDescent="0.3">
      <c r="Q580" s="51"/>
      <c r="S580" s="45"/>
      <c r="T580" s="45"/>
      <c r="U580" s="45"/>
      <c r="V580" s="45"/>
      <c r="W580" s="51"/>
      <c r="AA580" s="45"/>
    </row>
    <row r="581" spans="17:27" x14ac:dyDescent="0.3">
      <c r="Q581" s="51"/>
      <c r="S581" s="45"/>
      <c r="T581" s="45"/>
      <c r="U581" s="45"/>
      <c r="V581" s="45"/>
      <c r="W581" s="51"/>
      <c r="AA581" s="45"/>
    </row>
    <row r="582" spans="17:27" x14ac:dyDescent="0.3">
      <c r="Q582" s="51"/>
      <c r="S582" s="45"/>
      <c r="T582" s="45"/>
      <c r="U582" s="45"/>
      <c r="V582" s="45"/>
      <c r="W582" s="51"/>
      <c r="AA582" s="45"/>
    </row>
    <row r="583" spans="17:27" x14ac:dyDescent="0.3">
      <c r="Q583" s="51"/>
      <c r="S583" s="45"/>
      <c r="T583" s="45"/>
      <c r="U583" s="45"/>
      <c r="V583" s="45"/>
      <c r="W583" s="51"/>
      <c r="AA583" s="45"/>
    </row>
    <row r="584" spans="17:27" x14ac:dyDescent="0.3">
      <c r="Q584" s="51"/>
      <c r="S584" s="45"/>
      <c r="T584" s="45"/>
      <c r="U584" s="45"/>
      <c r="V584" s="45"/>
      <c r="W584" s="51"/>
      <c r="AA584" s="45"/>
    </row>
    <row r="585" spans="17:27" x14ac:dyDescent="0.3">
      <c r="Q585" s="51"/>
      <c r="S585" s="45"/>
      <c r="T585" s="45"/>
      <c r="U585" s="45"/>
      <c r="V585" s="45"/>
      <c r="W585" s="51"/>
      <c r="AA585" s="45"/>
    </row>
    <row r="586" spans="17:27" x14ac:dyDescent="0.3">
      <c r="Q586" s="51"/>
      <c r="S586" s="45"/>
      <c r="T586" s="45"/>
      <c r="U586" s="45"/>
      <c r="V586" s="45"/>
      <c r="W586" s="51"/>
      <c r="AA586" s="45"/>
    </row>
    <row r="587" spans="17:27" x14ac:dyDescent="0.3">
      <c r="Q587" s="51"/>
      <c r="S587" s="45"/>
      <c r="T587" s="45"/>
      <c r="U587" s="45"/>
      <c r="V587" s="45"/>
      <c r="W587" s="51"/>
      <c r="AA587" s="45"/>
    </row>
    <row r="588" spans="17:27" x14ac:dyDescent="0.3">
      <c r="Q588" s="51"/>
      <c r="S588" s="45"/>
      <c r="T588" s="45"/>
      <c r="U588" s="45"/>
      <c r="V588" s="45"/>
      <c r="W588" s="51"/>
      <c r="AA588" s="45"/>
    </row>
    <row r="589" spans="17:27" x14ac:dyDescent="0.3">
      <c r="Q589" s="51"/>
      <c r="S589" s="45"/>
      <c r="T589" s="45"/>
      <c r="U589" s="45"/>
      <c r="V589" s="45"/>
      <c r="W589" s="51"/>
      <c r="AA589" s="45"/>
    </row>
    <row r="590" spans="17:27" x14ac:dyDescent="0.3">
      <c r="Q590" s="51"/>
      <c r="S590" s="45"/>
      <c r="T590" s="45"/>
      <c r="U590" s="45"/>
      <c r="V590" s="45"/>
      <c r="W590" s="51"/>
      <c r="AA590" s="45"/>
    </row>
    <row r="591" spans="17:27" x14ac:dyDescent="0.3">
      <c r="Q591" s="51"/>
      <c r="S591" s="45"/>
      <c r="T591" s="45"/>
      <c r="U591" s="45"/>
      <c r="V591" s="45"/>
      <c r="W591" s="51"/>
      <c r="AA591" s="45"/>
    </row>
    <row r="592" spans="17:27" x14ac:dyDescent="0.3">
      <c r="Q592" s="51"/>
      <c r="S592" s="45"/>
      <c r="T592" s="45"/>
      <c r="U592" s="45"/>
      <c r="V592" s="45"/>
      <c r="W592" s="51"/>
      <c r="AA592" s="45"/>
    </row>
    <row r="593" spans="17:27" x14ac:dyDescent="0.3">
      <c r="Q593" s="51"/>
      <c r="S593" s="45"/>
      <c r="T593" s="45"/>
      <c r="U593" s="45"/>
      <c r="V593" s="45"/>
      <c r="W593" s="51"/>
      <c r="AA593" s="45"/>
    </row>
    <row r="594" spans="17:27" x14ac:dyDescent="0.3">
      <c r="Q594" s="51"/>
      <c r="S594" s="45"/>
      <c r="T594" s="45"/>
      <c r="U594" s="45"/>
      <c r="V594" s="45"/>
      <c r="W594" s="51"/>
      <c r="AA594" s="45"/>
    </row>
    <row r="595" spans="17:27" x14ac:dyDescent="0.3">
      <c r="Q595" s="51"/>
      <c r="S595" s="45"/>
      <c r="T595" s="45"/>
      <c r="U595" s="45"/>
      <c r="V595" s="45"/>
      <c r="W595" s="51"/>
      <c r="AA595" s="45"/>
    </row>
    <row r="596" spans="17:27" x14ac:dyDescent="0.3">
      <c r="Q596" s="51"/>
      <c r="S596" s="45"/>
      <c r="T596" s="45"/>
      <c r="U596" s="45"/>
      <c r="V596" s="45"/>
      <c r="W596" s="51"/>
      <c r="AA596" s="45"/>
    </row>
    <row r="597" spans="17:27" x14ac:dyDescent="0.3">
      <c r="Q597" s="51"/>
      <c r="S597" s="45"/>
      <c r="T597" s="45"/>
      <c r="U597" s="45"/>
      <c r="V597" s="45"/>
      <c r="W597" s="51"/>
      <c r="AA597" s="45"/>
    </row>
    <row r="598" spans="17:27" x14ac:dyDescent="0.3">
      <c r="Q598" s="51"/>
      <c r="S598" s="45"/>
      <c r="T598" s="45"/>
      <c r="U598" s="45"/>
      <c r="V598" s="45"/>
      <c r="W598" s="51"/>
      <c r="AA598" s="45"/>
    </row>
    <row r="599" spans="17:27" x14ac:dyDescent="0.3">
      <c r="Q599" s="51"/>
      <c r="S599" s="45"/>
      <c r="T599" s="45"/>
      <c r="U599" s="45"/>
      <c r="V599" s="45"/>
      <c r="W599" s="51"/>
      <c r="AA599" s="45"/>
    </row>
    <row r="600" spans="17:27" x14ac:dyDescent="0.3">
      <c r="Q600" s="51"/>
      <c r="S600" s="45"/>
      <c r="T600" s="45"/>
      <c r="U600" s="45"/>
      <c r="V600" s="45"/>
      <c r="W600" s="51"/>
      <c r="AA600" s="45"/>
    </row>
    <row r="601" spans="17:27" x14ac:dyDescent="0.3">
      <c r="Q601" s="51"/>
      <c r="S601" s="45"/>
      <c r="T601" s="45"/>
      <c r="U601" s="45"/>
      <c r="V601" s="45"/>
      <c r="W601" s="51"/>
      <c r="AA601" s="45"/>
    </row>
    <row r="602" spans="17:27" x14ac:dyDescent="0.3">
      <c r="Q602" s="51"/>
      <c r="S602" s="45"/>
      <c r="T602" s="45"/>
      <c r="U602" s="45"/>
      <c r="V602" s="45"/>
      <c r="W602" s="51"/>
      <c r="AA602" s="45"/>
    </row>
    <row r="603" spans="17:27" x14ac:dyDescent="0.3">
      <c r="Q603" s="51"/>
      <c r="S603" s="45"/>
      <c r="T603" s="45"/>
      <c r="U603" s="45"/>
      <c r="V603" s="45"/>
      <c r="W603" s="51"/>
      <c r="AA603" s="45"/>
    </row>
    <row r="604" spans="17:27" x14ac:dyDescent="0.3">
      <c r="Q604" s="51"/>
      <c r="S604" s="45"/>
      <c r="T604" s="45"/>
      <c r="U604" s="45"/>
      <c r="V604" s="45"/>
      <c r="W604" s="51"/>
      <c r="AA604" s="45"/>
    </row>
    <row r="605" spans="17:27" x14ac:dyDescent="0.3">
      <c r="Q605" s="51"/>
      <c r="S605" s="45"/>
      <c r="T605" s="45"/>
      <c r="U605" s="45"/>
      <c r="V605" s="45"/>
      <c r="W605" s="51"/>
      <c r="AA605" s="45"/>
    </row>
    <row r="606" spans="17:27" x14ac:dyDescent="0.3">
      <c r="Q606" s="51"/>
      <c r="S606" s="45"/>
      <c r="T606" s="45"/>
      <c r="U606" s="45"/>
      <c r="V606" s="45"/>
      <c r="W606" s="51"/>
      <c r="AA606" s="45"/>
    </row>
    <row r="607" spans="17:27" x14ac:dyDescent="0.3">
      <c r="Q607" s="51"/>
      <c r="S607" s="45"/>
      <c r="T607" s="45"/>
      <c r="U607" s="45"/>
      <c r="V607" s="45"/>
      <c r="W607" s="51"/>
      <c r="AA607" s="45"/>
    </row>
    <row r="608" spans="17:27" x14ac:dyDescent="0.3">
      <c r="Q608" s="51"/>
      <c r="S608" s="45"/>
      <c r="T608" s="45"/>
      <c r="U608" s="45"/>
      <c r="V608" s="45"/>
      <c r="W608" s="51"/>
      <c r="AA608" s="45"/>
    </row>
    <row r="609" spans="17:27" x14ac:dyDescent="0.3">
      <c r="Q609" s="51"/>
      <c r="S609" s="45"/>
      <c r="T609" s="45"/>
      <c r="U609" s="45"/>
      <c r="V609" s="45"/>
      <c r="W609" s="51"/>
      <c r="AA609" s="45"/>
    </row>
    <row r="610" spans="17:27" x14ac:dyDescent="0.3">
      <c r="Q610" s="51"/>
      <c r="S610" s="45"/>
      <c r="T610" s="45"/>
      <c r="U610" s="45"/>
      <c r="V610" s="45"/>
      <c r="W610" s="51"/>
      <c r="AA610" s="45"/>
    </row>
    <row r="611" spans="17:27" x14ac:dyDescent="0.3">
      <c r="Q611" s="51"/>
      <c r="S611" s="45"/>
      <c r="T611" s="45"/>
      <c r="U611" s="45"/>
      <c r="V611" s="45"/>
      <c r="W611" s="51"/>
      <c r="AA611" s="45"/>
    </row>
    <row r="612" spans="17:27" x14ac:dyDescent="0.3">
      <c r="Q612" s="51"/>
      <c r="S612" s="45"/>
      <c r="T612" s="45"/>
      <c r="U612" s="45"/>
      <c r="V612" s="45"/>
      <c r="W612" s="51"/>
      <c r="AA612" s="45"/>
    </row>
    <row r="613" spans="17:27" x14ac:dyDescent="0.3">
      <c r="AA613" s="45"/>
    </row>
    <row r="614" spans="17:27" x14ac:dyDescent="0.3">
      <c r="AA614" s="45"/>
    </row>
    <row r="615" spans="17:27" x14ac:dyDescent="0.3">
      <c r="AA615" s="45"/>
    </row>
    <row r="616" spans="17:27" x14ac:dyDescent="0.3">
      <c r="AA616" s="45"/>
    </row>
    <row r="617" spans="17:27" x14ac:dyDescent="0.3">
      <c r="AA617" s="45"/>
    </row>
    <row r="618" spans="17:27" x14ac:dyDescent="0.3">
      <c r="AA618" s="45"/>
    </row>
    <row r="619" spans="17:27" x14ac:dyDescent="0.3">
      <c r="AA619" s="45"/>
    </row>
    <row r="620" spans="17:27" x14ac:dyDescent="0.3">
      <c r="AA620" s="45"/>
    </row>
    <row r="621" spans="17:27" x14ac:dyDescent="0.3">
      <c r="AA621" s="45"/>
    </row>
    <row r="622" spans="17:27" x14ac:dyDescent="0.3">
      <c r="AA622" s="45"/>
    </row>
  </sheetData>
  <pageMargins left="0.7" right="0.7" top="0.75" bottom="0.75" header="0.3" footer="0.3"/>
  <pageSetup paperSize="9" orientation="portrait" horizont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A141"/>
  <sheetViews>
    <sheetView zoomScaleNormal="100" workbookViewId="0">
      <selection activeCell="B1" sqref="B1"/>
    </sheetView>
  </sheetViews>
  <sheetFormatPr defaultRowHeight="14.4" x14ac:dyDescent="0.3"/>
  <cols>
    <col min="1" max="1" width="11.88671875" bestFit="1" customWidth="1"/>
    <col min="4" max="4" width="9" customWidth="1"/>
    <col min="5" max="5" width="9.6640625" bestFit="1" customWidth="1"/>
    <col min="7" max="7" width="9.6640625" bestFit="1" customWidth="1"/>
  </cols>
  <sheetData>
    <row r="1" spans="1:313" x14ac:dyDescent="0.3">
      <c r="A1" s="4" t="s">
        <v>128</v>
      </c>
      <c r="B1" t="s">
        <v>121</v>
      </c>
      <c r="LA1" t="s">
        <v>121</v>
      </c>
    </row>
    <row r="3" spans="1:313" s="1" customFormat="1" x14ac:dyDescent="0.3">
      <c r="A3" s="1" t="s">
        <v>135</v>
      </c>
      <c r="B3" s="1" t="s">
        <v>191</v>
      </c>
    </row>
    <row r="4" spans="1:313" s="1" customFormat="1" x14ac:dyDescent="0.3">
      <c r="B4" s="17" t="s">
        <v>144</v>
      </c>
      <c r="C4" s="1" t="s">
        <v>193</v>
      </c>
      <c r="D4" s="1" t="s">
        <v>132</v>
      </c>
      <c r="E4" s="17" t="s">
        <v>133</v>
      </c>
      <c r="F4" s="17" t="s">
        <v>141</v>
      </c>
      <c r="G4" s="17" t="s">
        <v>153</v>
      </c>
      <c r="H4" s="17" t="s">
        <v>158</v>
      </c>
      <c r="I4" s="17" t="s">
        <v>161</v>
      </c>
      <c r="J4" s="17"/>
    </row>
    <row r="5" spans="1:313" x14ac:dyDescent="0.3">
      <c r="A5" s="16" t="s">
        <v>179</v>
      </c>
      <c r="B5" s="16">
        <f ca="1">IFERROR(
 SUMPRODUCT(($B$1&lt;&gt;"")*(GameListChampion=$B$1)*(GameListRole=$A5)*((GameListMode="Normal")+(GameListMode="Ranked"))),0
)</f>
        <v>0</v>
      </c>
      <c r="C5" s="18">
        <f ca="1">IFERROR(B5/SUM($B$5:$B$9),0)</f>
        <v>0</v>
      </c>
      <c r="D5" s="18">
        <f ca="1">IFERROR(
 SUMPRODUCT((GameListChampion=$B$1)*GameListWinLoss*(OR(GameListModeLastGames="Normal",GameListModeLastGames="Ranked"))*(GameListRole=$A5))/$B5,0
)</f>
        <v>0</v>
      </c>
      <c r="E5" s="19" t="str">
        <f ca="1">IFERROR(
 CONCATENATE(
  ROUND(
   SUMPRODUCT(
    (GameListChampion=$B$1)*(GameListRole=$A5)*((GameListMode="Normal")+(GameListMode="Ranked"))*((GameListKills+GameListAssists)
    /
    IF(
     SUMPRODUCT(
      (GameListChampion=$B$1)*(GameListRole=$A5)*(OR(GameListMode="Normal",GameListMode="Ranked"))*GameListDeaths
      )=0,1,SUMPRODUCT(
      (GameListChampion=$B$1)*(GameListRole=$A5)*(OR(GameListMode="Normal",GameListMode="Ranked"))*GameListDeaths)
     )
    )
   ),2
  )," (",
  ROUND(
   SUMPRODUCT(
    (GameListChampionLastGames=$B$1)*(GameListRoleLastGames=$A5)*(OR(GameListModeLastGames="Normal",GameListModeLastGames="Ranked"))*((GameListKillsLastGames+GameListAssistsLastGames)
    /
    IF(
     SUMPRODUCT(
      (GameListChampionLastGames=$B$1)*(GameListRoleLastGames=$A5)*(OR(GameListModeLastGames="Normal",GameListModeLastGames="Ranked"))*GameListDeathsLastGames
      )=0,1,SUMPRODUCT(
      (GameListChampionLastGames=$B$1)*(GameListRoleLastGames=$A5)*(OR(GameListModeLastGames="Normal",GameListModeLastGames="Ranked"))*GameListDeathsLastGames)
     )
    )
   ),2
  ),")"
 ),"0 (0)"
)</f>
        <v>0 (0)</v>
      </c>
      <c r="F5" s="15" t="str">
        <f ca="1">IFERROR(CONCATENATE(
  ROUND(
   SUMPRODUCT(
    (GameListChampion=$B$1)*(GameListRole=$A5)*((GameListMode="Normal")+(GameListMode="Ranked"))*(GameListCS)
   )/$B5,0
  )," (",ROUND(
   SUMPRODUCT(
    (GameListChampionLastGames=$B$1)*(GameListRoleLastGames=$A5)*(OR(GameListModeLastGames="Normal",GameListModeLastGames="Ranked"))*(GameListCSLastGames)
   )/MAX(SUMPRODUCT((GameListChampionLastGames=$B$1)*(GameListRoleLastGames=$A5)*1),1),0
  ),")"
 ),"0 (0)")</f>
        <v>0 (0)</v>
      </c>
      <c r="G5" s="19" t="str">
        <f ca="1">IFERROR(
 CONCATENATE(
  ROUND(
   SUMPRODUCT(
    (GameListChampion=$B$1)*(GameListRole=$A5)*((GameListMode="Normal")+(GameListMode="Ranked"))*(GameListCS)
   )
   /
   SUMPRODUCT(
    (GameListChampion=$B$1)*(GameListRole=$A5)*(OR(GameListMode="Normal",GameListMode="Ranked"))*(GameListMin + (GameListSec / 60))
   ),2
  )," (",
  ROUND(
   SUMPRODUCT(
    (GameListChampionLastGames=$B$1)*(GameListRoleLastGames=$A5)*(OR(GameListModeLastGames="Normal",GameListModeLastGames="Ranked"))*(GameListCSLastGames)
   )
   /MAX(
   SUMPRODUCT(
    (GameListChampionLastGames=$B$1)*(GameListRoleLastGames=$A5)*(OR(GameListModeLastGames="Normal",GameListModeLastGames="Ranked"))*(GameListMinLastGames + (GameListSecLastGames / 60))
   ),1
  ),2),")"
 ),"0 (0)"
)</f>
        <v>0 (0)</v>
      </c>
      <c r="H5" s="15" t="str">
        <f ca="1">IFERROR(
 CONCATENATE(
  ROUND(
   SUMPRODUCT(
    (GameListChampion=$B$1)*(GameListRole=$A5)*((GameListMode="Normal")+(GameListMode="Ranked"))*(GameListGold)
   )
   /
   SUMPRODUCT(
    (GameListChampion=$B$1)*(GameListRole=$A5)*(OR(GameListMode="Normal",GameListMode="Ranked"))*(GameListMin + (GameListSec / 60))
   ),0
  )," (",ROUND(
   SUMPRODUCT(
    (GameListChampionLastGames=$B$1)*(GameListRoleLastGames=$A5)*(OR(GameListModeLastGames="Normal",GameListModeLastGames="Ranked"))*(GameListGoldLastGames)
   )
   /
   MAX(SUMPRODUCT(
    (GameListChampionLastGames=$B$1)*(GameListRoleLastGames=$A5)*(OR(GameListModeLastGames="Normal",GameListModeLastGames="Ranked"))*(GameListMinLastGames + (GameListSecLastGames / 60))
   ),1),0
  ),")"
 ),"0 (0)"
)</f>
        <v>0 (0)</v>
      </c>
      <c r="I5" s="15" t="str">
        <f ca="1">IFERROR(
CONCATENATE(
ROUNDDOWN(
SUMPRODUCT((GameListChampion=$B$1)*(GameListRole=$A5)*((GameListMode="Normal")+(GameListMode="Ranked"))*(GameListMin+(GameListSec/60)))/$B5,0
),":",ROUNDDOWN(
(SUMPRODUCT((GameListChampion=$B$1)*(GameListRole=$A5)*((GameListMode="Normal")+(GameListMode="Ranked"))*(GameListMin+(GameListSec/60)))/$B5
-
ROUNDDOWN(
SUMPRODUCT((GameListChampion=$B$1)*(GameListRole=$A5)*((GameListMode="Normal")+(GameListMode="Ranked"))*(GameListMin+(GameListSec/60)))/$B5,0
))*60,0
)
),"00:00"
)</f>
        <v>00:00</v>
      </c>
    </row>
    <row r="6" spans="1:313" x14ac:dyDescent="0.3">
      <c r="A6" s="16" t="s">
        <v>188</v>
      </c>
      <c r="B6" s="16">
        <f ca="1">IFERROR(
 SUMPRODUCT(($B$1&lt;&gt;"")*(GameListChampion=$B$1)*(GameListRole=$A6)*((GameListMode="Normal")+(GameListMode="Ranked"))),0
)</f>
        <v>0</v>
      </c>
      <c r="C6" s="18">
        <f t="shared" ref="C6:C9" ca="1" si="0">IFERROR(B6/SUM($B$5:$B$9),0)</f>
        <v>0</v>
      </c>
      <c r="D6" s="18">
        <f ca="1">IFERROR(
 SUMPRODUCT((GameListChampion=$B$1)*GameListWinLoss*(OR(GameListModeLastGames="Normal",GameListModeLastGames="Ranked"))*(GameListRole=$A6))/$B6,0
)</f>
        <v>0</v>
      </c>
      <c r="E6" s="19" t="str">
        <f ca="1">IFERROR(
 CONCATENATE(
  ROUND(
   SUMPRODUCT(
    (GameListChampion=$B$1)*(GameListRole=$A6)*((GameListMode="Normal")+(GameListMode="Ranked"))*((GameListKills+GameListAssists)
    /
    IF(
     SUMPRODUCT(
      (GameListChampion=$B$1)*(GameListRole=$A6)*(OR(GameListMode="Normal",GameListMode="Ranked"))*GameListDeaths
      )=0,1,SUMPRODUCT(
      (GameListChampion=$B$1)*(GameListRole=$A6)*(OR(GameListMode="Normal",GameListMode="Ranked"))*GameListDeaths)
     )
    )
   ),2
  )," (",
  ROUND(
   SUMPRODUCT(
    (GameListChampionLastGames=$B$1)*(GameListRoleLastGames=$A6)*(OR(GameListModeLastGames="Normal",GameListModeLastGames="Ranked"))*((GameListKillsLastGames+GameListAssistsLastGames)
    /
    IF(
     SUMPRODUCT(
      (GameListChampionLastGames=$B$1)*(GameListRoleLastGames=$A6)*(OR(GameListModeLastGames="Normal",GameListModeLastGames="Ranked"))*GameListDeathsLastGames
      )=0,1,SUMPRODUCT(
      (GameListChampionLastGames=$B$1)*(GameListRoleLastGames=$A6)*(OR(GameListModeLastGames="Normal",GameListModeLastGames="Ranked"))*GameListDeathsLastGames)
     )
    )
   ),2
  ),")"
 ),"0 (0)"
)</f>
        <v>0 (0)</v>
      </c>
      <c r="F6" s="15" t="str">
        <f ca="1">IFERROR(CONCATENATE(
  ROUND(
   SUMPRODUCT(
    (GameListChampion=$B$1)*(GameListRole=$A6)*((GameListMode="Normal")+(GameListMode="Ranked"))*(GameListCS)
   )/$B6,0
  )," (",ROUND(
   SUMPRODUCT(
    (GameListChampionLastGames=$B$1)*(GameListRoleLastGames=$A6)*(OR(GameListModeLastGames="Normal",GameListModeLastGames="Ranked"))*(GameListCSLastGames)
   )/MAX(SUMPRODUCT((GameListChampionLastGames=$B$1)*(GameListRoleLastGames=$A6)*1),1),0
  ),")"
 ),"0 (0)")</f>
        <v>0 (0)</v>
      </c>
      <c r="G6" s="19" t="str">
        <f ca="1">IFERROR(
 CONCATENATE(
  ROUND(
   SUMPRODUCT(
    (GameListChampion=$B$1)*(GameListRole=$A6)*((GameListMode="Normal")+(GameListMode="Ranked"))*(GameListCS)
   )
   /
   SUMPRODUCT(
    (GameListChampion=$B$1)*(GameListRole=$A6)*(OR(GameListMode="Normal",GameListMode="Ranked"))*(GameListMin + (GameListSec / 60))
   ),2
  )," (",
  ROUND(
   SUMPRODUCT(
    (GameListChampionLastGames=$B$1)*(GameListRoleLastGames=$A6)*(OR(GameListModeLastGames="Normal",GameListModeLastGames="Ranked"))*(GameListCSLastGames)
   )
   /MAX(
   SUMPRODUCT(
    (GameListChampionLastGames=$B$1)*(GameListRoleLastGames=$A6)*(OR(GameListModeLastGames="Normal",GameListModeLastGames="Ranked"))*(GameListMinLastGames + (GameListSecLastGames / 60))
   ),1
  ),2),")"
 ),"0 (0)"
)</f>
        <v>0 (0)</v>
      </c>
      <c r="H6" s="15" t="str">
        <f ca="1">IFERROR(
 CONCATENATE(
  ROUND(
   SUMPRODUCT(
    (GameListChampion=$B$1)*(GameListRole=$A6)*((GameListMode="Normal")+(GameListMode="Ranked"))*(GameListGold)
   )
   /
   SUMPRODUCT(
    (GameListChampion=$B$1)*(GameListRole=$A6)*(OR(GameListMode="Normal",GameListMode="Ranked"))*(GameListMin + (GameListSec / 60))
   ),0
  )," (",ROUND(
   SUMPRODUCT(
    (GameListChampionLastGames=$B$1)*(GameListRoleLastGames=$A6)*(OR(GameListModeLastGames="Normal",GameListModeLastGames="Ranked"))*(GameListGoldLastGames)
   )
   /
   MAX(SUMPRODUCT(
    (GameListChampionLastGames=$B$1)*(GameListRoleLastGames=$A6)*(OR(GameListModeLastGames="Normal",GameListModeLastGames="Ranked"))*(GameListMinLastGames + (GameListSecLastGames / 60))
   ),1),0
  ),")"
 ),"0 (0)"
)</f>
        <v>0 (0)</v>
      </c>
      <c r="I6" s="15" t="str">
        <f ca="1">IFERROR(
CONCATENATE(
ROUNDDOWN(
SUMPRODUCT((GameListChampion=$B$1)*(GameListRole=$A6)*((GameListMode="Normal")+(GameListMode="Ranked"))*(GameListMin+(GameListSec/60)))/$B6,0
),":",ROUNDDOWN(
(SUMPRODUCT((GameListChampion=$B$1)*(GameListRole=$A6)*((GameListMode="Normal")+(GameListMode="Ranked"))*(GameListMin+(GameListSec/60)))/$B6
-
ROUNDDOWN(
SUMPRODUCT((GameListChampion=$B$1)*(GameListRole=$A6)*((GameListMode="Normal")+(GameListMode="Ranked"))*(GameListMin+(GameListSec/60)))/$B6,0
))*60,0
)
),"00:00"
)</f>
        <v>00:00</v>
      </c>
    </row>
    <row r="7" spans="1:313" x14ac:dyDescent="0.3">
      <c r="A7" s="16" t="s">
        <v>156</v>
      </c>
      <c r="B7" s="16">
        <f ca="1">IFERROR(
 SUMPRODUCT(($B$1&lt;&gt;"")*(GameListChampion=$B$1)*(GameListRole=$A7)*((GameListMode="Normal")+(GameListMode="Ranked"))),0
)</f>
        <v>0</v>
      </c>
      <c r="C7" s="18">
        <f t="shared" ca="1" si="0"/>
        <v>0</v>
      </c>
      <c r="D7" s="18">
        <f ca="1">IFERROR(
 SUMPRODUCT((GameListChampion=$B$1)*GameListWinLoss*(OR(GameListModeLastGames="Normal",GameListModeLastGames="Ranked"))*(GameListRole=$A7))/$B7,0
)</f>
        <v>0</v>
      </c>
      <c r="E7" s="19" t="str">
        <f ca="1">IFERROR(
 CONCATENATE(
  ROUND(
   SUMPRODUCT(
    (GameListChampion=$B$1)*(GameListRole=$A7)*((GameListMode="Normal")+(GameListMode="Ranked"))*((GameListKills+GameListAssists)
    /
    IF(
     SUMPRODUCT(
      (GameListChampion=$B$1)*(GameListRole=$A7)*(OR(GameListMode="Normal",GameListMode="Ranked"))*GameListDeaths
      )=0,1,SUMPRODUCT(
      (GameListChampion=$B$1)*(GameListRole=$A7)*(OR(GameListMode="Normal",GameListMode="Ranked"))*GameListDeaths)
     )
    )
   ),2
  )," (",
  ROUND(
   SUMPRODUCT(
    (GameListChampionLastGames=$B$1)*(GameListRoleLastGames=$A7)*(OR(GameListModeLastGames="Normal",GameListModeLastGames="Ranked"))*((GameListKillsLastGames+GameListAssistsLastGames)
    /
    IF(
     SUMPRODUCT(
      (GameListChampionLastGames=$B$1)*(GameListRoleLastGames=$A7)*(OR(GameListModeLastGames="Normal",GameListModeLastGames="Ranked"))*GameListDeathsLastGames
      )=0,1,SUMPRODUCT(
      (GameListChampionLastGames=$B$1)*(GameListRoleLastGames=$A7)*(OR(GameListModeLastGames="Normal",GameListModeLastGames="Ranked"))*GameListDeathsLastGames)
     )
    )
   ),2
  ),")"
 ),"0 (0)"
)</f>
        <v>0 (0)</v>
      </c>
      <c r="F7" s="15" t="str">
        <f ca="1">IFERROR(CONCATENATE(
  ROUND(
   SUMPRODUCT(
    (GameListChampion=$B$1)*(GameListRole=$A7)*((GameListMode="Normal")+(GameListMode="Ranked"))*(GameListCS)
   )/$B7,0
  )," (",ROUND(
   SUMPRODUCT(
    (GameListChampionLastGames=$B$1)*(GameListRoleLastGames=$A7)*(OR(GameListModeLastGames="Normal",GameListModeLastGames="Ranked"))*(GameListCSLastGames)
   )/MAX(SUMPRODUCT((GameListChampionLastGames=$B$1)*(GameListRoleLastGames=$A7)*1),1),0
  ),")"
 ),"0 (0)")</f>
        <v>0 (0)</v>
      </c>
      <c r="G7" s="19" t="str">
        <f ca="1">IFERROR(
 CONCATENATE(
  ROUND(
   SUMPRODUCT(
    (GameListChampion=$B$1)*(GameListRole=$A7)*((GameListMode="Normal")+(GameListMode="Ranked"))*(GameListCS)
   )
   /
   SUMPRODUCT(
    (GameListChampion=$B$1)*(GameListRole=$A7)*(OR(GameListMode="Normal",GameListMode="Ranked"))*(GameListMin + (GameListSec / 60))
   ),2
  )," (",
  ROUND(
   SUMPRODUCT(
    (GameListChampionLastGames=$B$1)*(GameListRoleLastGames=$A7)*(OR(GameListModeLastGames="Normal",GameListModeLastGames="Ranked"))*(GameListCSLastGames)
   )
   /MAX(
   SUMPRODUCT(
    (GameListChampionLastGames=$B$1)*(GameListRoleLastGames=$A7)*(OR(GameListModeLastGames="Normal",GameListModeLastGames="Ranked"))*(GameListMinLastGames + (GameListSecLastGames / 60))
   ),1
  ),2),")"
 ),"0 (0)"
)</f>
        <v>0 (0)</v>
      </c>
      <c r="H7" s="15" t="str">
        <f ca="1">IFERROR(
 CONCATENATE(
  ROUND(
   SUMPRODUCT(
    (GameListChampion=$B$1)*(GameListRole=$A7)*((GameListMode="Normal")+(GameListMode="Ranked"))*(GameListGold)
   )
   /
   SUMPRODUCT(
    (GameListChampion=$B$1)*(GameListRole=$A7)*(OR(GameListMode="Normal",GameListMode="Ranked"))*(GameListMin + (GameListSec / 60))
   ),0
  )," (",ROUND(
   SUMPRODUCT(
    (GameListChampionLastGames=$B$1)*(GameListRoleLastGames=$A7)*(OR(GameListModeLastGames="Normal",GameListModeLastGames="Ranked"))*(GameListGoldLastGames)
   )
   /
   MAX(SUMPRODUCT(
    (GameListChampionLastGames=$B$1)*(GameListRoleLastGames=$A7)*(OR(GameListModeLastGames="Normal",GameListModeLastGames="Ranked"))*(GameListMinLastGames + (GameListSecLastGames / 60))
   ),1),0
  ),")"
 ),"0 (0)"
)</f>
        <v>0 (0)</v>
      </c>
      <c r="I7" s="15" t="str">
        <f ca="1">IFERROR(
CONCATENATE(
ROUNDDOWN(
SUMPRODUCT((GameListChampion=$B$1)*(GameListRole=$A7)*((GameListMode="Normal")+(GameListMode="Ranked"))*(GameListMin+(GameListSec/60)))/$B7,0
),":",ROUNDDOWN(
(SUMPRODUCT((GameListChampion=$B$1)*(GameListRole=$A7)*((GameListMode="Normal")+(GameListMode="Ranked"))*(GameListMin+(GameListSec/60)))/$B7
-
ROUNDDOWN(
SUMPRODUCT((GameListChampion=$B$1)*(GameListRole=$A7)*((GameListMode="Normal")+(GameListMode="Ranked"))*(GameListMin+(GameListSec/60)))/$B7,0
))*60,0
)
),"00:00"
)</f>
        <v>00:00</v>
      </c>
    </row>
    <row r="8" spans="1:313" x14ac:dyDescent="0.3">
      <c r="A8" s="16" t="s">
        <v>192</v>
      </c>
      <c r="B8" s="16">
        <f ca="1">IFERROR(
 SUMPRODUCT(($B$1&lt;&gt;"")*(GameListChampion=$B$1)*(GameListRole=$A8)*((GameListMode="Normal")+(GameListMode="Ranked"))),0
)</f>
        <v>0</v>
      </c>
      <c r="C8" s="18">
        <f t="shared" ca="1" si="0"/>
        <v>0</v>
      </c>
      <c r="D8" s="18">
        <f ca="1">IFERROR(
 SUMPRODUCT((GameListChampion=$B$1)*GameListWinLoss*(OR(GameListModeLastGames="Normal",GameListModeLastGames="Ranked"))*(GameListRole=$A8))/$B8,0
)</f>
        <v>0</v>
      </c>
      <c r="E8" s="19" t="str">
        <f ca="1">IFERROR(
 CONCATENATE(
  ROUND(
   SUMPRODUCT(
    (GameListChampion=$B$1)*(GameListRole=$A8)*((GameListMode="Normal")+(GameListMode="Ranked"))*((GameListKills+GameListAssists)
    /
    IF(
     SUMPRODUCT(
      (GameListChampion=$B$1)*(GameListRole=$A8)*(OR(GameListMode="Normal",GameListMode="Ranked"))*GameListDeaths
      )=0,1,SUMPRODUCT(
      (GameListChampion=$B$1)*(GameListRole=$A8)*(OR(GameListMode="Normal",GameListMode="Ranked"))*GameListDeaths)
     )
    )
   ),2
  )," (",
  ROUND(
   SUMPRODUCT(
    (GameListChampionLastGames=$B$1)*(GameListRoleLastGames=$A8)*(OR(GameListModeLastGames="Normal",GameListModeLastGames="Ranked"))*((GameListKillsLastGames+GameListAssistsLastGames)
    /
    IF(
     SUMPRODUCT(
      (GameListChampionLastGames=$B$1)*(GameListRoleLastGames=$A8)*(OR(GameListModeLastGames="Normal",GameListModeLastGames="Ranked"))*GameListDeathsLastGames
      )=0,1,SUMPRODUCT(
      (GameListChampionLastGames=$B$1)*(GameListRoleLastGames=$A8)*(OR(GameListModeLastGames="Normal",GameListModeLastGames="Ranked"))*GameListDeathsLastGames)
     )
    )
   ),2
  ),")"
 ),"0 (0)"
)</f>
        <v>0 (0)</v>
      </c>
      <c r="F8" s="15" t="str">
        <f ca="1">IFERROR(CONCATENATE(
  ROUND(
   SUMPRODUCT(
    (GameListChampion=$B$1)*(GameListRole=$A8)*((GameListMode="Normal")+(GameListMode="Ranked"))*(GameListCS)
   )/$B8,0
  )," (",ROUND(
   SUMPRODUCT(
    (GameListChampionLastGames=$B$1)*(GameListRoleLastGames=$A8)*(OR(GameListModeLastGames="Normal",GameListModeLastGames="Ranked"))*(GameListCSLastGames)
   )/MAX(SUMPRODUCT((GameListChampionLastGames=$B$1)*(GameListRoleLastGames=$A8)*1),1),0
  ),")"
 ),"0 (0)")</f>
        <v>0 (0)</v>
      </c>
      <c r="G8" s="19" t="str">
        <f ca="1">IFERROR(
 CONCATENATE(
  ROUND(
   SUMPRODUCT(
    (GameListChampion=$B$1)*(GameListRole=$A8)*((GameListMode="Normal")+(GameListMode="Ranked"))*(GameListCS)
   )
   /
   SUMPRODUCT(
    (GameListChampion=$B$1)*(GameListRole=$A8)*(OR(GameListMode="Normal",GameListMode="Ranked"))*(GameListMin + (GameListSec / 60))
   ),2
  )," (",
  ROUND(
   SUMPRODUCT(
    (GameListChampionLastGames=$B$1)*(GameListRoleLastGames=$A8)*(OR(GameListModeLastGames="Normal",GameListModeLastGames="Ranked"))*(GameListCSLastGames)
   )
   /MAX(
   SUMPRODUCT(
    (GameListChampionLastGames=$B$1)*(GameListRoleLastGames=$A8)*(OR(GameListModeLastGames="Normal",GameListModeLastGames="Ranked"))*(GameListMinLastGames + (GameListSecLastGames / 60))
   ),1
  ),2),")"
 ),"0 (0)"
)</f>
        <v>0 (0)</v>
      </c>
      <c r="H8" s="15" t="str">
        <f ca="1">IFERROR(
 CONCATENATE(
  ROUND(
   SUMPRODUCT(
    (GameListChampion=$B$1)*(GameListRole=$A8)*((GameListMode="Normal")+(GameListMode="Ranked"))*(GameListGold)
   )
   /
   SUMPRODUCT(
    (GameListChampion=$B$1)*(GameListRole=$A8)*(OR(GameListMode="Normal",GameListMode="Ranked"))*(GameListMin + (GameListSec / 60))
   ),0
  )," (",ROUND(
   SUMPRODUCT(
    (GameListChampionLastGames=$B$1)*(GameListRoleLastGames=$A8)*(OR(GameListModeLastGames="Normal",GameListModeLastGames="Ranked"))*(GameListGoldLastGames)
   )
   /
   MAX(SUMPRODUCT(
    (GameListChampionLastGames=$B$1)*(GameListRoleLastGames=$A8)*(OR(GameListModeLastGames="Normal",GameListModeLastGames="Ranked"))*(GameListMinLastGames + (GameListSecLastGames / 60))
   ),1),0
  ),")"
 ),"0 (0)"
)</f>
        <v>0 (0)</v>
      </c>
      <c r="I8" s="15" t="str">
        <f ca="1">IFERROR(
CONCATENATE(
ROUNDDOWN(
SUMPRODUCT((GameListChampion=$B$1)*(GameListRole=$A8)*((GameListMode="Normal")+(GameListMode="Ranked"))*(GameListMin+(GameListSec/60)))/$B8,0
),":",ROUNDDOWN(
(SUMPRODUCT((GameListChampion=$B$1)*(GameListRole=$A8)*((GameListMode="Normal")+(GameListMode="Ranked"))*(GameListMin+(GameListSec/60)))/$B8
-
ROUNDDOWN(
SUMPRODUCT((GameListChampion=$B$1)*(GameListRole=$A8)*((GameListMode="Normal")+(GameListMode="Ranked"))*(GameListMin+(GameListSec/60)))/$B8,0
))*60,0
)
),"00:00"
)</f>
        <v>00:00</v>
      </c>
    </row>
    <row r="9" spans="1:313" x14ac:dyDescent="0.3">
      <c r="A9" s="16" t="s">
        <v>187</v>
      </c>
      <c r="B9" s="16">
        <f ca="1">IFERROR(
 SUMPRODUCT(($B$1&lt;&gt;"")*(GameListChampion=$B$1)*(GameListRole=$A9)*((GameListMode="Normal")+(GameListMode="Ranked"))),0
)</f>
        <v>0</v>
      </c>
      <c r="C9" s="18">
        <f t="shared" ca="1" si="0"/>
        <v>0</v>
      </c>
      <c r="D9" s="18">
        <f ca="1">IFERROR(
 SUMPRODUCT((GameListChampion=$B$1)*GameListWinLoss*(OR(GameListModeLastGames="Normal",GameListModeLastGames="Ranked"))*(GameListRole=$A9))/$B9,0
)</f>
        <v>0</v>
      </c>
      <c r="E9" s="19" t="str">
        <f ca="1">IFERROR(
 CONCATENATE(
  ROUND(
   SUMPRODUCT(
    (GameListChampion=$B$1)*(GameListRole=$A9)*((GameListMode="Normal")+(GameListMode="Ranked"))*((GameListKills+GameListAssists)
    /
    IF(
     SUMPRODUCT(
      (GameListChampion=$B$1)*(GameListRole=$A9)*(OR(GameListMode="Normal",GameListMode="Ranked"))*GameListDeaths
      )=0,1,SUMPRODUCT(
      (GameListChampion=$B$1)*(GameListRole=$A9)*(OR(GameListMode="Normal",GameListMode="Ranked"))*GameListDeaths)
     )
    )
   ),2
  )," (",
  ROUND(
   SUMPRODUCT(
    (GameListChampionLastGames=$B$1)*(GameListRoleLastGames=$A9)*(OR(GameListModeLastGames="Normal",GameListModeLastGames="Ranked"))*((GameListKillsLastGames+GameListAssistsLastGames)
    /
    IF(
     SUMPRODUCT(
      (GameListChampionLastGames=$B$1)*(GameListRoleLastGames=$A9)*(OR(GameListModeLastGames="Normal",GameListModeLastGames="Ranked"))*GameListDeathsLastGames
      )=0,1,SUMPRODUCT(
      (GameListChampionLastGames=$B$1)*(GameListRoleLastGames=$A9)*(OR(GameListModeLastGames="Normal",GameListModeLastGames="Ranked"))*GameListDeathsLastGames)
     )
    )
   ),2
  ),")"
 ),"0 (0)"
)</f>
        <v>0 (0)</v>
      </c>
      <c r="F9" s="15" t="str">
        <f ca="1">IFERROR(CONCATENATE(
  ROUND(
   SUMPRODUCT(
    (GameListChampion=$B$1)*(GameListRole=$A9)*((GameListMode="Normal")+(GameListMode="Ranked"))*(GameListCS)
   )/$B9,0
  )," (",ROUND(
   SUMPRODUCT(
    (GameListChampionLastGames=$B$1)*(GameListRoleLastGames=$A9)*(OR(GameListModeLastGames="Normal",GameListModeLastGames="Ranked"))*(GameListCSLastGames)
   )/MAX(SUMPRODUCT((GameListChampionLastGames=$B$1)*(GameListRoleLastGames=$A9)*1),1),0
  ),")"
 ),"0 (0)")</f>
        <v>0 (0)</v>
      </c>
      <c r="G9" s="19" t="str">
        <f ca="1">IFERROR(
 CONCATENATE(
  ROUND(
   SUMPRODUCT(
    (GameListChampion=$B$1)*(GameListRole=$A9)*((GameListMode="Normal")+(GameListMode="Ranked"))*(GameListCS)
   )
   /
   SUMPRODUCT(
    (GameListChampion=$B$1)*(GameListRole=$A9)*(OR(GameListMode="Normal",GameListMode="Ranked"))*(GameListMin + (GameListSec / 60))
   ),2
  )," (",
  ROUND(
   SUMPRODUCT(
    (GameListChampionLastGames=$B$1)*(GameListRoleLastGames=$A9)*(OR(GameListModeLastGames="Normal",GameListModeLastGames="Ranked"))*(GameListCSLastGames)
   )
   /MAX(
   SUMPRODUCT(
    (GameListChampionLastGames=$B$1)*(GameListRoleLastGames=$A9)*(OR(GameListModeLastGames="Normal",GameListModeLastGames="Ranked"))*(GameListMinLastGames + (GameListSecLastGames / 60))
   ),1
  ),2),")"
 ),"0 (0)"
)</f>
        <v>0 (0)</v>
      </c>
      <c r="H9" s="15" t="str">
        <f ca="1">IFERROR(
 CONCATENATE(
  ROUND(
   SUMPRODUCT(
    (GameListChampion=$B$1)*(GameListRole=$A9)*((GameListMode="Normal")+(GameListMode="Ranked"))*(GameListGold)
   )
   /
   SUMPRODUCT(
    (GameListChampion=$B$1)*(GameListRole=$A9)*(OR(GameListMode="Normal",GameListMode="Ranked"))*(GameListMin + (GameListSec / 60))
   ),0
  )," (",ROUND(
   SUMPRODUCT(
    (GameListChampionLastGames=$B$1)*(GameListRoleLastGames=$A9)*(OR(GameListModeLastGames="Normal",GameListModeLastGames="Ranked"))*(GameListGoldLastGames)
   )
   /
   MAX(SUMPRODUCT(
    (GameListChampionLastGames=$B$1)*(GameListRoleLastGames=$A9)*(OR(GameListModeLastGames="Normal",GameListModeLastGames="Ranked"))*(GameListMinLastGames + (GameListSecLastGames / 60))
   ),1),0
  ),")"
 ),"0 (0)"
)</f>
        <v>0 (0)</v>
      </c>
      <c r="I9" s="15" t="str">
        <f ca="1">IFERROR(
CONCATENATE(
ROUNDDOWN(
SUMPRODUCT((GameListChampion=$B$1)*(GameListRole=$A9)*((GameListMode="Normal")+(GameListMode="Ranked"))*(GameListMin+(GameListSec/60)))/$B9,0
),":",ROUNDDOWN(
(SUMPRODUCT((GameListChampion=$B$1)*(GameListRole=$A9)*((GameListMode="Normal")+(GameListMode="Ranked"))*(GameListMin+(GameListSec/60)))/$B9
-
ROUNDDOWN(
SUMPRODUCT((GameListChampion=$B$1)*(GameListRole=$A9)*((GameListMode="Normal")+(GameListMode="Ranked"))*(GameListMin+(GameListSec/60)))/$B9,0
))*60,0
)
),"00:00"
)</f>
        <v>00:00</v>
      </c>
    </row>
    <row r="11" spans="1:313" s="2" customFormat="1" x14ac:dyDescent="0.3">
      <c r="A11" s="1" t="s">
        <v>128</v>
      </c>
      <c r="B11" s="1" t="s">
        <v>129</v>
      </c>
      <c r="C11" s="1" t="s">
        <v>131</v>
      </c>
      <c r="D11" s="1" t="s">
        <v>193</v>
      </c>
      <c r="E11" s="1" t="s">
        <v>132</v>
      </c>
      <c r="F11" s="1" t="s">
        <v>130</v>
      </c>
      <c r="DR11"/>
    </row>
    <row r="12" spans="1:313" x14ac:dyDescent="0.3">
      <c r="A12" t="s">
        <v>0</v>
      </c>
      <c r="B12">
        <f t="shared" ref="B12:B43" ca="1" si="1">IFERROR(
 SUMPRODUCT((GameListChampion=$B$1)*((GameListMode="Normal")+(GameListMode="Ranked"))*(GameListLaneOpponent=$A12)),0
)</f>
        <v>0</v>
      </c>
      <c r="C12">
        <f t="shared" ref="C12:C43" ca="1" si="2">IFERROR(
 SUMPRODUCT((GameListChampion=$B$1)*((GameListMode="Normal")+(GameListMode="Ranked"))*(GameListLaneOpponent=$A12)*GameListWinLoss),0
)</f>
        <v>0</v>
      </c>
      <c r="D12" s="3">
        <f ca="1">IF(B12=0,0,B12/SUM($B$12:$B$140))</f>
        <v>0</v>
      </c>
      <c r="E12" s="20" t="str">
        <f ca="1">IF(B12=0,"N/A",C12/B12)</f>
        <v>N/A</v>
      </c>
      <c r="F12" s="21"/>
    </row>
    <row r="13" spans="1:313" x14ac:dyDescent="0.3">
      <c r="A13" t="s">
        <v>1</v>
      </c>
      <c r="B13">
        <f t="shared" ca="1" si="1"/>
        <v>0</v>
      </c>
      <c r="C13">
        <f t="shared" ca="1" si="2"/>
        <v>0</v>
      </c>
      <c r="D13" s="3">
        <f t="shared" ref="D13:D76" ca="1" si="3">IF(B13=0,0,B13/SUM($B$12:$B$140))</f>
        <v>0</v>
      </c>
      <c r="E13" s="20" t="str">
        <f t="shared" ref="E13:E76" ca="1" si="4">IF(B13=0,"N/A",C13/B13)</f>
        <v>N/A</v>
      </c>
      <c r="F13" s="21" t="s">
        <v>148</v>
      </c>
    </row>
    <row r="14" spans="1:313" x14ac:dyDescent="0.3">
      <c r="A14" t="s">
        <v>2</v>
      </c>
      <c r="B14">
        <f t="shared" ca="1" si="1"/>
        <v>0</v>
      </c>
      <c r="C14">
        <f t="shared" ca="1" si="2"/>
        <v>0</v>
      </c>
      <c r="D14" s="3">
        <f t="shared" ca="1" si="3"/>
        <v>0</v>
      </c>
      <c r="E14" s="20" t="str">
        <f t="shared" ca="1" si="4"/>
        <v>N/A</v>
      </c>
      <c r="F14" s="21" t="s">
        <v>149</v>
      </c>
    </row>
    <row r="15" spans="1:313" x14ac:dyDescent="0.3">
      <c r="A15" t="s">
        <v>3</v>
      </c>
      <c r="B15">
        <f t="shared" ca="1" si="1"/>
        <v>0</v>
      </c>
      <c r="C15">
        <f t="shared" ca="1" si="2"/>
        <v>0</v>
      </c>
      <c r="D15" s="3">
        <f t="shared" ca="1" si="3"/>
        <v>0</v>
      </c>
      <c r="E15" s="20" t="str">
        <f t="shared" ca="1" si="4"/>
        <v>N/A</v>
      </c>
      <c r="F15" s="21"/>
    </row>
    <row r="16" spans="1:313" x14ac:dyDescent="0.3">
      <c r="A16" t="s">
        <v>4</v>
      </c>
      <c r="B16">
        <f t="shared" ca="1" si="1"/>
        <v>0</v>
      </c>
      <c r="C16">
        <f t="shared" ca="1" si="2"/>
        <v>0</v>
      </c>
      <c r="D16" s="3">
        <f t="shared" ca="1" si="3"/>
        <v>0</v>
      </c>
      <c r="E16" s="20" t="str">
        <f t="shared" ca="1" si="4"/>
        <v>N/A</v>
      </c>
      <c r="F16" s="21"/>
    </row>
    <row r="17" spans="1:6" x14ac:dyDescent="0.3">
      <c r="A17" t="s">
        <v>5</v>
      </c>
      <c r="B17">
        <f t="shared" ca="1" si="1"/>
        <v>0</v>
      </c>
      <c r="C17">
        <f t="shared" ca="1" si="2"/>
        <v>0</v>
      </c>
      <c r="D17" s="3">
        <f t="shared" ca="1" si="3"/>
        <v>0</v>
      </c>
      <c r="E17" s="20" t="str">
        <f t="shared" ca="1" si="4"/>
        <v>N/A</v>
      </c>
      <c r="F17" s="21" t="s">
        <v>150</v>
      </c>
    </row>
    <row r="18" spans="1:6" x14ac:dyDescent="0.3">
      <c r="A18" t="s">
        <v>6</v>
      </c>
      <c r="B18">
        <f t="shared" ca="1" si="1"/>
        <v>0</v>
      </c>
      <c r="C18">
        <f t="shared" ca="1" si="2"/>
        <v>0</v>
      </c>
      <c r="D18" s="3">
        <f t="shared" ca="1" si="3"/>
        <v>0</v>
      </c>
      <c r="E18" s="20" t="str">
        <f t="shared" ca="1" si="4"/>
        <v>N/A</v>
      </c>
      <c r="F18" s="21" t="s">
        <v>147</v>
      </c>
    </row>
    <row r="19" spans="1:6" x14ac:dyDescent="0.3">
      <c r="A19" t="s">
        <v>7</v>
      </c>
      <c r="B19">
        <f t="shared" ca="1" si="1"/>
        <v>0</v>
      </c>
      <c r="C19">
        <f t="shared" ca="1" si="2"/>
        <v>0</v>
      </c>
      <c r="D19" s="3">
        <f t="shared" ca="1" si="3"/>
        <v>0</v>
      </c>
      <c r="E19" s="20" t="str">
        <f t="shared" ca="1" si="4"/>
        <v>N/A</v>
      </c>
      <c r="F19" s="21"/>
    </row>
    <row r="20" spans="1:6" x14ac:dyDescent="0.3">
      <c r="A20" t="s">
        <v>8</v>
      </c>
      <c r="B20">
        <f t="shared" ca="1" si="1"/>
        <v>0</v>
      </c>
      <c r="C20">
        <f t="shared" ca="1" si="2"/>
        <v>0</v>
      </c>
      <c r="D20" s="3">
        <f t="shared" ca="1" si="3"/>
        <v>0</v>
      </c>
      <c r="E20" s="20" t="str">
        <f t="shared" ca="1" si="4"/>
        <v>N/A</v>
      </c>
      <c r="F20" s="21" t="s">
        <v>202</v>
      </c>
    </row>
    <row r="21" spans="1:6" x14ac:dyDescent="0.3">
      <c r="A21" t="s">
        <v>9</v>
      </c>
      <c r="B21">
        <f t="shared" ca="1" si="1"/>
        <v>0</v>
      </c>
      <c r="C21">
        <f t="shared" ca="1" si="2"/>
        <v>0</v>
      </c>
      <c r="D21" s="3">
        <f t="shared" ca="1" si="3"/>
        <v>0</v>
      </c>
      <c r="E21" s="20" t="str">
        <f t="shared" ca="1" si="4"/>
        <v>N/A</v>
      </c>
      <c r="F21" s="21"/>
    </row>
    <row r="22" spans="1:6" x14ac:dyDescent="0.3">
      <c r="A22" t="s">
        <v>10</v>
      </c>
      <c r="B22">
        <f t="shared" ca="1" si="1"/>
        <v>0</v>
      </c>
      <c r="C22">
        <f t="shared" ca="1" si="2"/>
        <v>0</v>
      </c>
      <c r="D22" s="3">
        <f t="shared" ca="1" si="3"/>
        <v>0</v>
      </c>
      <c r="E22" s="20" t="str">
        <f t="shared" ca="1" si="4"/>
        <v>N/A</v>
      </c>
      <c r="F22" s="21"/>
    </row>
    <row r="23" spans="1:6" x14ac:dyDescent="0.3">
      <c r="A23" t="s">
        <v>11</v>
      </c>
      <c r="B23">
        <f t="shared" ca="1" si="1"/>
        <v>0</v>
      </c>
      <c r="C23">
        <f t="shared" ca="1" si="2"/>
        <v>0</v>
      </c>
      <c r="D23" s="3">
        <f t="shared" ca="1" si="3"/>
        <v>0</v>
      </c>
      <c r="E23" s="20" t="str">
        <f t="shared" ca="1" si="4"/>
        <v>N/A</v>
      </c>
      <c r="F23" s="21" t="s">
        <v>151</v>
      </c>
    </row>
    <row r="24" spans="1:6" x14ac:dyDescent="0.3">
      <c r="A24" t="s">
        <v>12</v>
      </c>
      <c r="B24">
        <f t="shared" ca="1" si="1"/>
        <v>0</v>
      </c>
      <c r="C24">
        <f t="shared" ca="1" si="2"/>
        <v>0</v>
      </c>
      <c r="D24" s="3">
        <f t="shared" ca="1" si="3"/>
        <v>0</v>
      </c>
      <c r="E24" s="20" t="str">
        <f t="shared" ca="1" si="4"/>
        <v>N/A</v>
      </c>
      <c r="F24" s="21"/>
    </row>
    <row r="25" spans="1:6" x14ac:dyDescent="0.3">
      <c r="A25" t="s">
        <v>13</v>
      </c>
      <c r="B25">
        <f t="shared" ca="1" si="1"/>
        <v>0</v>
      </c>
      <c r="C25">
        <f t="shared" ca="1" si="2"/>
        <v>0</v>
      </c>
      <c r="D25" s="3">
        <f t="shared" ca="1" si="3"/>
        <v>0</v>
      </c>
      <c r="E25" s="20" t="str">
        <f t="shared" ca="1" si="4"/>
        <v>N/A</v>
      </c>
      <c r="F25" s="21"/>
    </row>
    <row r="26" spans="1:6" x14ac:dyDescent="0.3">
      <c r="A26" t="s">
        <v>14</v>
      </c>
      <c r="B26">
        <f t="shared" ca="1" si="1"/>
        <v>0</v>
      </c>
      <c r="C26">
        <f t="shared" ca="1" si="2"/>
        <v>0</v>
      </c>
      <c r="D26" s="3">
        <f t="shared" ca="1" si="3"/>
        <v>0</v>
      </c>
      <c r="E26" s="20" t="str">
        <f t="shared" ca="1" si="4"/>
        <v>N/A</v>
      </c>
      <c r="F26" s="21"/>
    </row>
    <row r="27" spans="1:6" x14ac:dyDescent="0.3">
      <c r="A27" t="s">
        <v>15</v>
      </c>
      <c r="B27">
        <f t="shared" ca="1" si="1"/>
        <v>0</v>
      </c>
      <c r="C27">
        <f t="shared" ca="1" si="2"/>
        <v>0</v>
      </c>
      <c r="D27" s="3">
        <f t="shared" ca="1" si="3"/>
        <v>0</v>
      </c>
      <c r="E27" s="20" t="str">
        <f t="shared" ca="1" si="4"/>
        <v>N/A</v>
      </c>
      <c r="F27" s="21" t="s">
        <v>171</v>
      </c>
    </row>
    <row r="28" spans="1:6" x14ac:dyDescent="0.3">
      <c r="A28" t="s">
        <v>16</v>
      </c>
      <c r="B28">
        <f t="shared" ca="1" si="1"/>
        <v>0</v>
      </c>
      <c r="C28">
        <f t="shared" ca="1" si="2"/>
        <v>0</v>
      </c>
      <c r="D28" s="3">
        <f t="shared" ca="1" si="3"/>
        <v>0</v>
      </c>
      <c r="E28" s="20" t="str">
        <f t="shared" ca="1" si="4"/>
        <v>N/A</v>
      </c>
      <c r="F28" s="21"/>
    </row>
    <row r="29" spans="1:6" x14ac:dyDescent="0.3">
      <c r="A29" t="s">
        <v>17</v>
      </c>
      <c r="B29">
        <f t="shared" ca="1" si="1"/>
        <v>0</v>
      </c>
      <c r="C29">
        <f t="shared" ca="1" si="2"/>
        <v>0</v>
      </c>
      <c r="D29" s="3">
        <f t="shared" ca="1" si="3"/>
        <v>0</v>
      </c>
      <c r="E29" s="20" t="str">
        <f t="shared" ca="1" si="4"/>
        <v>N/A</v>
      </c>
      <c r="F29" s="21"/>
    </row>
    <row r="30" spans="1:6" x14ac:dyDescent="0.3">
      <c r="A30" t="s">
        <v>18</v>
      </c>
      <c r="B30">
        <f t="shared" ca="1" si="1"/>
        <v>0</v>
      </c>
      <c r="C30">
        <f t="shared" ca="1" si="2"/>
        <v>0</v>
      </c>
      <c r="D30" s="3">
        <f t="shared" ca="1" si="3"/>
        <v>0</v>
      </c>
      <c r="E30" s="20" t="str">
        <f t="shared" ca="1" si="4"/>
        <v>N/A</v>
      </c>
      <c r="F30" s="21"/>
    </row>
    <row r="31" spans="1:6" x14ac:dyDescent="0.3">
      <c r="A31" t="s">
        <v>19</v>
      </c>
      <c r="B31">
        <f t="shared" ca="1" si="1"/>
        <v>0</v>
      </c>
      <c r="C31">
        <f t="shared" ca="1" si="2"/>
        <v>0</v>
      </c>
      <c r="D31" s="3">
        <f t="shared" ca="1" si="3"/>
        <v>0</v>
      </c>
      <c r="E31" s="20" t="str">
        <f t="shared" ca="1" si="4"/>
        <v>N/A</v>
      </c>
      <c r="F31" s="21"/>
    </row>
    <row r="32" spans="1:6" x14ac:dyDescent="0.3">
      <c r="A32" t="s">
        <v>20</v>
      </c>
      <c r="B32">
        <f t="shared" ca="1" si="1"/>
        <v>0</v>
      </c>
      <c r="C32">
        <f t="shared" ca="1" si="2"/>
        <v>0</v>
      </c>
      <c r="D32" s="3">
        <f t="shared" ca="1" si="3"/>
        <v>0</v>
      </c>
      <c r="E32" s="20" t="str">
        <f t="shared" ca="1" si="4"/>
        <v>N/A</v>
      </c>
      <c r="F32" s="21"/>
    </row>
    <row r="33" spans="1:6" x14ac:dyDescent="0.3">
      <c r="A33" t="s">
        <v>21</v>
      </c>
      <c r="B33">
        <f t="shared" ca="1" si="1"/>
        <v>0</v>
      </c>
      <c r="C33">
        <f t="shared" ca="1" si="2"/>
        <v>0</v>
      </c>
      <c r="D33" s="3">
        <f t="shared" ca="1" si="3"/>
        <v>0</v>
      </c>
      <c r="E33" s="20" t="str">
        <f t="shared" ca="1" si="4"/>
        <v>N/A</v>
      </c>
      <c r="F33" s="21" t="s">
        <v>181</v>
      </c>
    </row>
    <row r="34" spans="1:6" x14ac:dyDescent="0.3">
      <c r="A34" t="s">
        <v>22</v>
      </c>
      <c r="B34">
        <f t="shared" ca="1" si="1"/>
        <v>0</v>
      </c>
      <c r="C34">
        <f t="shared" ca="1" si="2"/>
        <v>0</v>
      </c>
      <c r="D34" s="3">
        <f t="shared" ca="1" si="3"/>
        <v>0</v>
      </c>
      <c r="E34" s="20" t="str">
        <f t="shared" ca="1" si="4"/>
        <v>N/A</v>
      </c>
      <c r="F34" s="21"/>
    </row>
    <row r="35" spans="1:6" x14ac:dyDescent="0.3">
      <c r="A35" t="s">
        <v>23</v>
      </c>
      <c r="B35">
        <f t="shared" ca="1" si="1"/>
        <v>0</v>
      </c>
      <c r="C35">
        <f t="shared" ca="1" si="2"/>
        <v>0</v>
      </c>
      <c r="D35" s="3">
        <f t="shared" ca="1" si="3"/>
        <v>0</v>
      </c>
      <c r="E35" s="20" t="str">
        <f t="shared" ca="1" si="4"/>
        <v>N/A</v>
      </c>
      <c r="F35" s="21"/>
    </row>
    <row r="36" spans="1:6" x14ac:dyDescent="0.3">
      <c r="A36" t="s">
        <v>24</v>
      </c>
      <c r="B36">
        <f t="shared" ca="1" si="1"/>
        <v>0</v>
      </c>
      <c r="C36">
        <f t="shared" ca="1" si="2"/>
        <v>0</v>
      </c>
      <c r="D36" s="3">
        <f t="shared" ca="1" si="3"/>
        <v>0</v>
      </c>
      <c r="E36" s="20" t="str">
        <f t="shared" ca="1" si="4"/>
        <v>N/A</v>
      </c>
      <c r="F36" s="21"/>
    </row>
    <row r="37" spans="1:6" x14ac:dyDescent="0.3">
      <c r="A37" t="s">
        <v>25</v>
      </c>
      <c r="B37">
        <f t="shared" ca="1" si="1"/>
        <v>0</v>
      </c>
      <c r="C37">
        <f t="shared" ca="1" si="2"/>
        <v>0</v>
      </c>
      <c r="D37" s="3">
        <f t="shared" ca="1" si="3"/>
        <v>0</v>
      </c>
      <c r="E37" s="20" t="str">
        <f t="shared" ca="1" si="4"/>
        <v>N/A</v>
      </c>
      <c r="F37" s="21"/>
    </row>
    <row r="38" spans="1:6" x14ac:dyDescent="0.3">
      <c r="A38" t="s">
        <v>26</v>
      </c>
      <c r="B38">
        <f t="shared" ca="1" si="1"/>
        <v>0</v>
      </c>
      <c r="C38">
        <f t="shared" ca="1" si="2"/>
        <v>0</v>
      </c>
      <c r="D38" s="3">
        <f t="shared" ca="1" si="3"/>
        <v>0</v>
      </c>
      <c r="E38" s="20" t="str">
        <f t="shared" ca="1" si="4"/>
        <v>N/A</v>
      </c>
      <c r="F38" s="21" t="s">
        <v>182</v>
      </c>
    </row>
    <row r="39" spans="1:6" x14ac:dyDescent="0.3">
      <c r="A39" t="s">
        <v>27</v>
      </c>
      <c r="B39">
        <f t="shared" ca="1" si="1"/>
        <v>0</v>
      </c>
      <c r="C39">
        <f t="shared" ca="1" si="2"/>
        <v>0</v>
      </c>
      <c r="D39" s="3">
        <f t="shared" ca="1" si="3"/>
        <v>0</v>
      </c>
      <c r="E39" s="20" t="str">
        <f t="shared" ca="1" si="4"/>
        <v>N/A</v>
      </c>
      <c r="F39" s="21"/>
    </row>
    <row r="40" spans="1:6" x14ac:dyDescent="0.3">
      <c r="A40" t="s">
        <v>28</v>
      </c>
      <c r="B40">
        <f t="shared" ca="1" si="1"/>
        <v>0</v>
      </c>
      <c r="C40">
        <f t="shared" ca="1" si="2"/>
        <v>0</v>
      </c>
      <c r="D40" s="3">
        <f t="shared" ca="1" si="3"/>
        <v>0</v>
      </c>
      <c r="E40" s="20" t="str">
        <f t="shared" ca="1" si="4"/>
        <v>N/A</v>
      </c>
      <c r="F40" s="21"/>
    </row>
    <row r="41" spans="1:6" x14ac:dyDescent="0.3">
      <c r="A41" t="s">
        <v>29</v>
      </c>
      <c r="B41">
        <f t="shared" ca="1" si="1"/>
        <v>0</v>
      </c>
      <c r="C41">
        <f t="shared" ca="1" si="2"/>
        <v>0</v>
      </c>
      <c r="D41" s="3">
        <f t="shared" ca="1" si="3"/>
        <v>0</v>
      </c>
      <c r="E41" s="20" t="str">
        <f t="shared" ca="1" si="4"/>
        <v>N/A</v>
      </c>
      <c r="F41" s="21" t="s">
        <v>206</v>
      </c>
    </row>
    <row r="42" spans="1:6" x14ac:dyDescent="0.3">
      <c r="A42" t="s">
        <v>30</v>
      </c>
      <c r="B42">
        <f t="shared" ca="1" si="1"/>
        <v>0</v>
      </c>
      <c r="C42">
        <f t="shared" ca="1" si="2"/>
        <v>0</v>
      </c>
      <c r="D42" s="3">
        <f t="shared" ca="1" si="3"/>
        <v>0</v>
      </c>
      <c r="E42" s="20" t="str">
        <f t="shared" ca="1" si="4"/>
        <v>N/A</v>
      </c>
      <c r="F42" s="21"/>
    </row>
    <row r="43" spans="1:6" x14ac:dyDescent="0.3">
      <c r="A43" t="s">
        <v>31</v>
      </c>
      <c r="B43">
        <f t="shared" ca="1" si="1"/>
        <v>0</v>
      </c>
      <c r="C43">
        <f t="shared" ca="1" si="2"/>
        <v>0</v>
      </c>
      <c r="D43" s="3">
        <f t="shared" ca="1" si="3"/>
        <v>0</v>
      </c>
      <c r="E43" s="20" t="str">
        <f t="shared" ca="1" si="4"/>
        <v>N/A</v>
      </c>
      <c r="F43" s="21"/>
    </row>
    <row r="44" spans="1:6" x14ac:dyDescent="0.3">
      <c r="A44" t="s">
        <v>32</v>
      </c>
      <c r="B44">
        <f t="shared" ref="B44:B75" ca="1" si="5">IFERROR(
 SUMPRODUCT((GameListChampion=$B$1)*((GameListMode="Normal")+(GameListMode="Ranked"))*(GameListLaneOpponent=$A44)),0
)</f>
        <v>0</v>
      </c>
      <c r="C44">
        <f t="shared" ref="C44:C75" ca="1" si="6">IFERROR(
 SUMPRODUCT((GameListChampion=$B$1)*((GameListMode="Normal")+(GameListMode="Ranked"))*(GameListLaneOpponent=$A44)*GameListWinLoss),0
)</f>
        <v>0</v>
      </c>
      <c r="D44" s="3">
        <f t="shared" ca="1" si="3"/>
        <v>0</v>
      </c>
      <c r="E44" s="20" t="str">
        <f t="shared" ca="1" si="4"/>
        <v>N/A</v>
      </c>
      <c r="F44" s="21"/>
    </row>
    <row r="45" spans="1:6" x14ac:dyDescent="0.3">
      <c r="A45" t="s">
        <v>33</v>
      </c>
      <c r="B45">
        <f t="shared" ca="1" si="5"/>
        <v>0</v>
      </c>
      <c r="C45">
        <f t="shared" ca="1" si="6"/>
        <v>0</v>
      </c>
      <c r="D45" s="3">
        <f t="shared" ca="1" si="3"/>
        <v>0</v>
      </c>
      <c r="E45" s="20" t="str">
        <f t="shared" ca="1" si="4"/>
        <v>N/A</v>
      </c>
      <c r="F45" s="21"/>
    </row>
    <row r="46" spans="1:6" x14ac:dyDescent="0.3">
      <c r="A46" t="s">
        <v>34</v>
      </c>
      <c r="B46">
        <f t="shared" ca="1" si="5"/>
        <v>0</v>
      </c>
      <c r="C46">
        <f t="shared" ca="1" si="6"/>
        <v>0</v>
      </c>
      <c r="D46" s="3">
        <f t="shared" ca="1" si="3"/>
        <v>0</v>
      </c>
      <c r="E46" s="20" t="str">
        <f t="shared" ca="1" si="4"/>
        <v>N/A</v>
      </c>
      <c r="F46" s="21" t="s">
        <v>189</v>
      </c>
    </row>
    <row r="47" spans="1:6" x14ac:dyDescent="0.3">
      <c r="A47" t="s">
        <v>35</v>
      </c>
      <c r="B47">
        <f t="shared" ca="1" si="5"/>
        <v>0</v>
      </c>
      <c r="C47">
        <f t="shared" ca="1" si="6"/>
        <v>0</v>
      </c>
      <c r="D47" s="3">
        <f t="shared" ca="1" si="3"/>
        <v>0</v>
      </c>
      <c r="E47" s="20" t="str">
        <f t="shared" ca="1" si="4"/>
        <v>N/A</v>
      </c>
      <c r="F47" s="21" t="s">
        <v>207</v>
      </c>
    </row>
    <row r="48" spans="1:6" x14ac:dyDescent="0.3">
      <c r="A48" t="s">
        <v>36</v>
      </c>
      <c r="B48">
        <f t="shared" ca="1" si="5"/>
        <v>0</v>
      </c>
      <c r="C48">
        <f t="shared" ca="1" si="6"/>
        <v>0</v>
      </c>
      <c r="D48" s="3">
        <f t="shared" ca="1" si="3"/>
        <v>0</v>
      </c>
      <c r="E48" s="20" t="str">
        <f t="shared" ca="1" si="4"/>
        <v>N/A</v>
      </c>
      <c r="F48" s="21"/>
    </row>
    <row r="49" spans="1:6" x14ac:dyDescent="0.3">
      <c r="A49" t="s">
        <v>37</v>
      </c>
      <c r="B49">
        <f t="shared" ca="1" si="5"/>
        <v>0</v>
      </c>
      <c r="C49">
        <f t="shared" ca="1" si="6"/>
        <v>0</v>
      </c>
      <c r="D49" s="3">
        <f t="shared" ca="1" si="3"/>
        <v>0</v>
      </c>
      <c r="E49" s="20" t="str">
        <f t="shared" ca="1" si="4"/>
        <v>N/A</v>
      </c>
      <c r="F49" s="21"/>
    </row>
    <row r="50" spans="1:6" x14ac:dyDescent="0.3">
      <c r="A50" t="s">
        <v>38</v>
      </c>
      <c r="B50">
        <f t="shared" ca="1" si="5"/>
        <v>0</v>
      </c>
      <c r="C50">
        <f t="shared" ca="1" si="6"/>
        <v>0</v>
      </c>
      <c r="D50" s="3">
        <f t="shared" ca="1" si="3"/>
        <v>0</v>
      </c>
      <c r="E50" s="20" t="str">
        <f t="shared" ca="1" si="4"/>
        <v>N/A</v>
      </c>
      <c r="F50" s="21"/>
    </row>
    <row r="51" spans="1:6" x14ac:dyDescent="0.3">
      <c r="A51" t="s">
        <v>39</v>
      </c>
      <c r="B51">
        <f t="shared" ca="1" si="5"/>
        <v>0</v>
      </c>
      <c r="C51">
        <f t="shared" ca="1" si="6"/>
        <v>0</v>
      </c>
      <c r="D51" s="3">
        <f t="shared" ca="1" si="3"/>
        <v>0</v>
      </c>
      <c r="E51" s="20" t="str">
        <f t="shared" ca="1" si="4"/>
        <v>N/A</v>
      </c>
      <c r="F51" s="21"/>
    </row>
    <row r="52" spans="1:6" x14ac:dyDescent="0.3">
      <c r="A52" t="s">
        <v>40</v>
      </c>
      <c r="B52">
        <f t="shared" ca="1" si="5"/>
        <v>0</v>
      </c>
      <c r="C52">
        <f t="shared" ca="1" si="6"/>
        <v>0</v>
      </c>
      <c r="D52" s="3">
        <f t="shared" ca="1" si="3"/>
        <v>0</v>
      </c>
      <c r="E52" s="20" t="str">
        <f t="shared" ca="1" si="4"/>
        <v>N/A</v>
      </c>
      <c r="F52" s="21"/>
    </row>
    <row r="53" spans="1:6" x14ac:dyDescent="0.3">
      <c r="A53" t="s">
        <v>41</v>
      </c>
      <c r="B53">
        <f t="shared" ca="1" si="5"/>
        <v>0</v>
      </c>
      <c r="C53">
        <f t="shared" ca="1" si="6"/>
        <v>0</v>
      </c>
      <c r="D53" s="3">
        <f t="shared" ca="1" si="3"/>
        <v>0</v>
      </c>
      <c r="E53" s="20" t="str">
        <f t="shared" ca="1" si="4"/>
        <v>N/A</v>
      </c>
      <c r="F53" s="21"/>
    </row>
    <row r="54" spans="1:6" x14ac:dyDescent="0.3">
      <c r="A54" t="s">
        <v>196</v>
      </c>
      <c r="B54">
        <f t="shared" ca="1" si="5"/>
        <v>0</v>
      </c>
      <c r="C54">
        <f t="shared" ca="1" si="6"/>
        <v>0</v>
      </c>
      <c r="D54" s="3">
        <f t="shared" ca="1" si="3"/>
        <v>0</v>
      </c>
      <c r="E54" s="20" t="str">
        <f t="shared" ca="1" si="4"/>
        <v>N/A</v>
      </c>
      <c r="F54" s="21"/>
    </row>
    <row r="55" spans="1:6" x14ac:dyDescent="0.3">
      <c r="A55" t="s">
        <v>42</v>
      </c>
      <c r="B55">
        <f t="shared" ca="1" si="5"/>
        <v>0</v>
      </c>
      <c r="C55">
        <f t="shared" ca="1" si="6"/>
        <v>0</v>
      </c>
      <c r="D55" s="3">
        <f t="shared" ca="1" si="3"/>
        <v>0</v>
      </c>
      <c r="E55" s="20" t="str">
        <f t="shared" ca="1" si="4"/>
        <v>N/A</v>
      </c>
      <c r="F55" s="21"/>
    </row>
    <row r="56" spans="1:6" x14ac:dyDescent="0.3">
      <c r="A56" t="s">
        <v>43</v>
      </c>
      <c r="B56">
        <f t="shared" ca="1" si="5"/>
        <v>0</v>
      </c>
      <c r="C56">
        <f t="shared" ca="1" si="6"/>
        <v>0</v>
      </c>
      <c r="D56" s="3">
        <f t="shared" ca="1" si="3"/>
        <v>0</v>
      </c>
      <c r="E56" s="20" t="str">
        <f t="shared" ca="1" si="4"/>
        <v>N/A</v>
      </c>
      <c r="F56" s="21"/>
    </row>
    <row r="57" spans="1:6" x14ac:dyDescent="0.3">
      <c r="A57" t="s">
        <v>44</v>
      </c>
      <c r="B57">
        <f t="shared" ca="1" si="5"/>
        <v>0</v>
      </c>
      <c r="C57">
        <f t="shared" ca="1" si="6"/>
        <v>0</v>
      </c>
      <c r="D57" s="3">
        <f t="shared" ca="1" si="3"/>
        <v>0</v>
      </c>
      <c r="E57" s="20" t="str">
        <f t="shared" ca="1" si="4"/>
        <v>N/A</v>
      </c>
      <c r="F57" s="21"/>
    </row>
    <row r="58" spans="1:6" x14ac:dyDescent="0.3">
      <c r="A58" t="s">
        <v>45</v>
      </c>
      <c r="B58">
        <f t="shared" ca="1" si="5"/>
        <v>0</v>
      </c>
      <c r="C58">
        <f t="shared" ca="1" si="6"/>
        <v>0</v>
      </c>
      <c r="D58" s="3">
        <f t="shared" ca="1" si="3"/>
        <v>0</v>
      </c>
      <c r="E58" s="20" t="str">
        <f t="shared" ca="1" si="4"/>
        <v>N/A</v>
      </c>
      <c r="F58" s="21" t="s">
        <v>172</v>
      </c>
    </row>
    <row r="59" spans="1:6" x14ac:dyDescent="0.3">
      <c r="A59" t="s">
        <v>46</v>
      </c>
      <c r="B59">
        <f t="shared" ca="1" si="5"/>
        <v>0</v>
      </c>
      <c r="C59">
        <f t="shared" ca="1" si="6"/>
        <v>0</v>
      </c>
      <c r="D59" s="3">
        <f t="shared" ca="1" si="3"/>
        <v>0</v>
      </c>
      <c r="E59" s="20" t="str">
        <f t="shared" ca="1" si="4"/>
        <v>N/A</v>
      </c>
      <c r="F59" s="21" t="s">
        <v>173</v>
      </c>
    </row>
    <row r="60" spans="1:6" x14ac:dyDescent="0.3">
      <c r="A60" t="s">
        <v>47</v>
      </c>
      <c r="B60">
        <f t="shared" ca="1" si="5"/>
        <v>0</v>
      </c>
      <c r="C60">
        <f t="shared" ca="1" si="6"/>
        <v>0</v>
      </c>
      <c r="D60" s="3">
        <f t="shared" ca="1" si="3"/>
        <v>0</v>
      </c>
      <c r="E60" s="20" t="str">
        <f t="shared" ca="1" si="4"/>
        <v>N/A</v>
      </c>
      <c r="F60" s="21"/>
    </row>
    <row r="61" spans="1:6" x14ac:dyDescent="0.3">
      <c r="A61" t="s">
        <v>48</v>
      </c>
      <c r="B61">
        <f t="shared" ca="1" si="5"/>
        <v>0</v>
      </c>
      <c r="C61">
        <f t="shared" ca="1" si="6"/>
        <v>0</v>
      </c>
      <c r="D61" s="3">
        <f t="shared" ca="1" si="3"/>
        <v>0</v>
      </c>
      <c r="E61" s="20" t="str">
        <f t="shared" ca="1" si="4"/>
        <v>N/A</v>
      </c>
      <c r="F61" s="21"/>
    </row>
    <row r="62" spans="1:6" x14ac:dyDescent="0.3">
      <c r="A62" t="s">
        <v>49</v>
      </c>
      <c r="B62">
        <f t="shared" ca="1" si="5"/>
        <v>0</v>
      </c>
      <c r="C62">
        <f t="shared" ca="1" si="6"/>
        <v>0</v>
      </c>
      <c r="D62" s="3">
        <f t="shared" ca="1" si="3"/>
        <v>0</v>
      </c>
      <c r="E62" s="20" t="str">
        <f t="shared" ca="1" si="4"/>
        <v>N/A</v>
      </c>
      <c r="F62" s="21" t="s">
        <v>203</v>
      </c>
    </row>
    <row r="63" spans="1:6" x14ac:dyDescent="0.3">
      <c r="A63" t="s">
        <v>50</v>
      </c>
      <c r="B63">
        <f t="shared" ca="1" si="5"/>
        <v>0</v>
      </c>
      <c r="C63">
        <f t="shared" ca="1" si="6"/>
        <v>0</v>
      </c>
      <c r="D63" s="3">
        <f t="shared" ca="1" si="3"/>
        <v>0</v>
      </c>
      <c r="E63" s="20" t="str">
        <f t="shared" ca="1" si="4"/>
        <v>N/A</v>
      </c>
      <c r="F63" s="21"/>
    </row>
    <row r="64" spans="1:6" x14ac:dyDescent="0.3">
      <c r="A64" t="s">
        <v>51</v>
      </c>
      <c r="B64">
        <f t="shared" ca="1" si="5"/>
        <v>0</v>
      </c>
      <c r="C64">
        <f t="shared" ca="1" si="6"/>
        <v>0</v>
      </c>
      <c r="D64" s="3">
        <f t="shared" ca="1" si="3"/>
        <v>0</v>
      </c>
      <c r="E64" s="20" t="str">
        <f t="shared" ca="1" si="4"/>
        <v>N/A</v>
      </c>
      <c r="F64" s="21"/>
    </row>
    <row r="65" spans="1:6" x14ac:dyDescent="0.3">
      <c r="A65" t="s">
        <v>52</v>
      </c>
      <c r="B65">
        <f t="shared" ca="1" si="5"/>
        <v>0</v>
      </c>
      <c r="C65">
        <f t="shared" ca="1" si="6"/>
        <v>0</v>
      </c>
      <c r="D65" s="3">
        <f t="shared" ca="1" si="3"/>
        <v>0</v>
      </c>
      <c r="E65" s="20" t="str">
        <f t="shared" ca="1" si="4"/>
        <v>N/A</v>
      </c>
      <c r="F65" s="21"/>
    </row>
    <row r="66" spans="1:6" x14ac:dyDescent="0.3">
      <c r="A66" t="s">
        <v>53</v>
      </c>
      <c r="B66">
        <f t="shared" ca="1" si="5"/>
        <v>0</v>
      </c>
      <c r="C66">
        <f t="shared" ca="1" si="6"/>
        <v>0</v>
      </c>
      <c r="D66" s="3">
        <f t="shared" ca="1" si="3"/>
        <v>0</v>
      </c>
      <c r="E66" s="20" t="str">
        <f t="shared" ca="1" si="4"/>
        <v>N/A</v>
      </c>
      <c r="F66" s="21" t="s">
        <v>174</v>
      </c>
    </row>
    <row r="67" spans="1:6" x14ac:dyDescent="0.3">
      <c r="A67" t="s">
        <v>54</v>
      </c>
      <c r="B67">
        <f t="shared" ca="1" si="5"/>
        <v>0</v>
      </c>
      <c r="C67">
        <f t="shared" ca="1" si="6"/>
        <v>0</v>
      </c>
      <c r="D67" s="3">
        <f t="shared" ca="1" si="3"/>
        <v>0</v>
      </c>
      <c r="E67" s="20" t="str">
        <f t="shared" ca="1" si="4"/>
        <v>N/A</v>
      </c>
      <c r="F67" s="21"/>
    </row>
    <row r="68" spans="1:6" x14ac:dyDescent="0.3">
      <c r="A68" t="s">
        <v>55</v>
      </c>
      <c r="B68">
        <f t="shared" ca="1" si="5"/>
        <v>0</v>
      </c>
      <c r="C68">
        <f t="shared" ca="1" si="6"/>
        <v>0</v>
      </c>
      <c r="D68" s="3">
        <f t="shared" ca="1" si="3"/>
        <v>0</v>
      </c>
      <c r="E68" s="20" t="str">
        <f t="shared" ca="1" si="4"/>
        <v>N/A</v>
      </c>
      <c r="F68" s="21"/>
    </row>
    <row r="69" spans="1:6" x14ac:dyDescent="0.3">
      <c r="A69" t="s">
        <v>56</v>
      </c>
      <c r="B69">
        <f t="shared" ca="1" si="5"/>
        <v>0</v>
      </c>
      <c r="C69">
        <f t="shared" ca="1" si="6"/>
        <v>0</v>
      </c>
      <c r="D69" s="3">
        <f t="shared" ca="1" si="3"/>
        <v>0</v>
      </c>
      <c r="E69" s="20" t="str">
        <f t="shared" ca="1" si="4"/>
        <v>N/A</v>
      </c>
      <c r="F69" s="21" t="s">
        <v>200</v>
      </c>
    </row>
    <row r="70" spans="1:6" x14ac:dyDescent="0.3">
      <c r="A70" t="s">
        <v>57</v>
      </c>
      <c r="B70">
        <f t="shared" ca="1" si="5"/>
        <v>0</v>
      </c>
      <c r="C70">
        <f t="shared" ca="1" si="6"/>
        <v>0</v>
      </c>
      <c r="D70" s="3">
        <f t="shared" ca="1" si="3"/>
        <v>0</v>
      </c>
      <c r="E70" s="20" t="str">
        <f t="shared" ca="1" si="4"/>
        <v>N/A</v>
      </c>
      <c r="F70" s="21"/>
    </row>
    <row r="71" spans="1:6" x14ac:dyDescent="0.3">
      <c r="A71" t="s">
        <v>58</v>
      </c>
      <c r="B71">
        <f t="shared" ca="1" si="5"/>
        <v>0</v>
      </c>
      <c r="C71">
        <f t="shared" ca="1" si="6"/>
        <v>0</v>
      </c>
      <c r="D71" s="3">
        <f t="shared" ca="1" si="3"/>
        <v>0</v>
      </c>
      <c r="E71" s="20" t="str">
        <f t="shared" ca="1" si="4"/>
        <v>N/A</v>
      </c>
      <c r="F71" s="21"/>
    </row>
    <row r="72" spans="1:6" x14ac:dyDescent="0.3">
      <c r="A72" t="s">
        <v>59</v>
      </c>
      <c r="B72">
        <f t="shared" ca="1" si="5"/>
        <v>0</v>
      </c>
      <c r="C72">
        <f t="shared" ca="1" si="6"/>
        <v>0</v>
      </c>
      <c r="D72" s="3">
        <f t="shared" ca="1" si="3"/>
        <v>0</v>
      </c>
      <c r="E72" s="20" t="str">
        <f t="shared" ca="1" si="4"/>
        <v>N/A</v>
      </c>
      <c r="F72" s="21"/>
    </row>
    <row r="73" spans="1:6" x14ac:dyDescent="0.3">
      <c r="A73" t="s">
        <v>60</v>
      </c>
      <c r="B73">
        <f t="shared" ca="1" si="5"/>
        <v>0</v>
      </c>
      <c r="C73">
        <f t="shared" ca="1" si="6"/>
        <v>0</v>
      </c>
      <c r="D73" s="3">
        <f t="shared" ca="1" si="3"/>
        <v>0</v>
      </c>
      <c r="E73" s="20" t="str">
        <f t="shared" ca="1" si="4"/>
        <v>N/A</v>
      </c>
      <c r="F73" s="21"/>
    </row>
    <row r="74" spans="1:6" x14ac:dyDescent="0.3">
      <c r="A74" t="s">
        <v>61</v>
      </c>
      <c r="B74">
        <f t="shared" ca="1" si="5"/>
        <v>0</v>
      </c>
      <c r="C74">
        <f t="shared" ca="1" si="6"/>
        <v>0</v>
      </c>
      <c r="D74" s="3">
        <f t="shared" ca="1" si="3"/>
        <v>0</v>
      </c>
      <c r="E74" s="20" t="str">
        <f t="shared" ca="1" si="4"/>
        <v>N/A</v>
      </c>
      <c r="F74" s="21"/>
    </row>
    <row r="75" spans="1:6" x14ac:dyDescent="0.3">
      <c r="A75" t="s">
        <v>62</v>
      </c>
      <c r="B75">
        <f t="shared" ca="1" si="5"/>
        <v>0</v>
      </c>
      <c r="C75">
        <f t="shared" ca="1" si="6"/>
        <v>0</v>
      </c>
      <c r="D75" s="3">
        <f t="shared" ca="1" si="3"/>
        <v>0</v>
      </c>
      <c r="E75" s="20" t="str">
        <f t="shared" ca="1" si="4"/>
        <v>N/A</v>
      </c>
      <c r="F75" s="21"/>
    </row>
    <row r="76" spans="1:6" x14ac:dyDescent="0.3">
      <c r="A76" t="s">
        <v>63</v>
      </c>
      <c r="B76">
        <f t="shared" ref="B76:B107" ca="1" si="7">IFERROR(
 SUMPRODUCT((GameListChampion=$B$1)*((GameListMode="Normal")+(GameListMode="Ranked"))*(GameListLaneOpponent=$A76)),0
)</f>
        <v>0</v>
      </c>
      <c r="C76">
        <f t="shared" ref="C76:C107" ca="1" si="8">IFERROR(
 SUMPRODUCT((GameListChampion=$B$1)*((GameListMode="Normal")+(GameListMode="Ranked"))*(GameListLaneOpponent=$A76)*GameListWinLoss),0
)</f>
        <v>0</v>
      </c>
      <c r="D76" s="3">
        <f t="shared" ca="1" si="3"/>
        <v>0</v>
      </c>
      <c r="E76" s="20" t="str">
        <f t="shared" ca="1" si="4"/>
        <v>N/A</v>
      </c>
      <c r="F76" s="21"/>
    </row>
    <row r="77" spans="1:6" x14ac:dyDescent="0.3">
      <c r="A77" t="s">
        <v>64</v>
      </c>
      <c r="B77">
        <f t="shared" ca="1" si="7"/>
        <v>0</v>
      </c>
      <c r="C77">
        <f t="shared" ca="1" si="8"/>
        <v>0</v>
      </c>
      <c r="D77" s="3">
        <f t="shared" ref="D77:D140" ca="1" si="9">IF(B77=0,0,B77/SUM($B$12:$B$140))</f>
        <v>0</v>
      </c>
      <c r="E77" s="20" t="str">
        <f t="shared" ref="E77:E140" ca="1" si="10">IF(B77=0,"N/A",C77/B77)</f>
        <v>N/A</v>
      </c>
      <c r="F77" s="21"/>
    </row>
    <row r="78" spans="1:6" x14ac:dyDescent="0.3">
      <c r="A78" t="s">
        <v>65</v>
      </c>
      <c r="B78">
        <f t="shared" ca="1" si="7"/>
        <v>0</v>
      </c>
      <c r="C78">
        <f t="shared" ca="1" si="8"/>
        <v>0</v>
      </c>
      <c r="D78" s="3">
        <f t="shared" ca="1" si="9"/>
        <v>0</v>
      </c>
      <c r="E78" s="20" t="str">
        <f t="shared" ca="1" si="10"/>
        <v>N/A</v>
      </c>
      <c r="F78" s="21"/>
    </row>
    <row r="79" spans="1:6" x14ac:dyDescent="0.3">
      <c r="A79" t="s">
        <v>66</v>
      </c>
      <c r="B79">
        <f t="shared" ca="1" si="7"/>
        <v>0</v>
      </c>
      <c r="C79">
        <f t="shared" ca="1" si="8"/>
        <v>0</v>
      </c>
      <c r="D79" s="3">
        <f t="shared" ca="1" si="9"/>
        <v>0</v>
      </c>
      <c r="E79" s="20" t="str">
        <f t="shared" ca="1" si="10"/>
        <v>N/A</v>
      </c>
      <c r="F79" s="21"/>
    </row>
    <row r="80" spans="1:6" x14ac:dyDescent="0.3">
      <c r="A80" t="s">
        <v>67</v>
      </c>
      <c r="B80">
        <f t="shared" ca="1" si="7"/>
        <v>0</v>
      </c>
      <c r="C80">
        <f t="shared" ca="1" si="8"/>
        <v>0</v>
      </c>
      <c r="D80" s="3">
        <f t="shared" ca="1" si="9"/>
        <v>0</v>
      </c>
      <c r="E80" s="20" t="str">
        <f t="shared" ca="1" si="10"/>
        <v>N/A</v>
      </c>
      <c r="F80" s="21"/>
    </row>
    <row r="81" spans="1:6" x14ac:dyDescent="0.3">
      <c r="A81" t="s">
        <v>68</v>
      </c>
      <c r="B81">
        <f t="shared" ca="1" si="7"/>
        <v>0</v>
      </c>
      <c r="C81">
        <f t="shared" ca="1" si="8"/>
        <v>0</v>
      </c>
      <c r="D81" s="3">
        <f t="shared" ca="1" si="9"/>
        <v>0</v>
      </c>
      <c r="E81" s="20" t="str">
        <f t="shared" ca="1" si="10"/>
        <v>N/A</v>
      </c>
      <c r="F81" s="21"/>
    </row>
    <row r="82" spans="1:6" x14ac:dyDescent="0.3">
      <c r="A82" t="s">
        <v>69</v>
      </c>
      <c r="B82">
        <f t="shared" ca="1" si="7"/>
        <v>0</v>
      </c>
      <c r="C82">
        <f t="shared" ca="1" si="8"/>
        <v>0</v>
      </c>
      <c r="D82" s="3">
        <f t="shared" ca="1" si="9"/>
        <v>0</v>
      </c>
      <c r="E82" s="20" t="str">
        <f t="shared" ca="1" si="10"/>
        <v>N/A</v>
      </c>
      <c r="F82" s="21"/>
    </row>
    <row r="83" spans="1:6" x14ac:dyDescent="0.3">
      <c r="A83" t="s">
        <v>70</v>
      </c>
      <c r="B83">
        <f t="shared" ca="1" si="7"/>
        <v>0</v>
      </c>
      <c r="C83">
        <f t="shared" ca="1" si="8"/>
        <v>0</v>
      </c>
      <c r="D83" s="3">
        <f t="shared" ca="1" si="9"/>
        <v>0</v>
      </c>
      <c r="E83" s="20" t="str">
        <f t="shared" ca="1" si="10"/>
        <v>N/A</v>
      </c>
      <c r="F83" s="21" t="s">
        <v>178</v>
      </c>
    </row>
    <row r="84" spans="1:6" x14ac:dyDescent="0.3">
      <c r="A84" t="s">
        <v>71</v>
      </c>
      <c r="B84">
        <f t="shared" ca="1" si="7"/>
        <v>0</v>
      </c>
      <c r="C84">
        <f t="shared" ca="1" si="8"/>
        <v>0</v>
      </c>
      <c r="D84" s="3">
        <f t="shared" ca="1" si="9"/>
        <v>0</v>
      </c>
      <c r="E84" s="20" t="str">
        <f t="shared" ca="1" si="10"/>
        <v>N/A</v>
      </c>
      <c r="F84" s="21"/>
    </row>
    <row r="85" spans="1:6" x14ac:dyDescent="0.3">
      <c r="A85" t="s">
        <v>72</v>
      </c>
      <c r="B85">
        <f t="shared" ca="1" si="7"/>
        <v>0</v>
      </c>
      <c r="C85">
        <f t="shared" ca="1" si="8"/>
        <v>0</v>
      </c>
      <c r="D85" s="3">
        <f t="shared" ca="1" si="9"/>
        <v>0</v>
      </c>
      <c r="E85" s="20" t="str">
        <f t="shared" ca="1" si="10"/>
        <v>N/A</v>
      </c>
      <c r="F85" s="21"/>
    </row>
    <row r="86" spans="1:6" x14ac:dyDescent="0.3">
      <c r="A86" t="s">
        <v>73</v>
      </c>
      <c r="B86">
        <f t="shared" ca="1" si="7"/>
        <v>0</v>
      </c>
      <c r="C86">
        <f t="shared" ca="1" si="8"/>
        <v>0</v>
      </c>
      <c r="D86" s="3">
        <f t="shared" ca="1" si="9"/>
        <v>0</v>
      </c>
      <c r="E86" s="20" t="str">
        <f t="shared" ca="1" si="10"/>
        <v>N/A</v>
      </c>
      <c r="F86" s="21"/>
    </row>
    <row r="87" spans="1:6" x14ac:dyDescent="0.3">
      <c r="A87" t="s">
        <v>74</v>
      </c>
      <c r="B87">
        <f t="shared" ca="1" si="7"/>
        <v>0</v>
      </c>
      <c r="C87">
        <f t="shared" ca="1" si="8"/>
        <v>0</v>
      </c>
      <c r="D87" s="3">
        <f t="shared" ca="1" si="9"/>
        <v>0</v>
      </c>
      <c r="E87" s="20" t="str">
        <f t="shared" ca="1" si="10"/>
        <v>N/A</v>
      </c>
      <c r="F87" s="21"/>
    </row>
    <row r="88" spans="1:6" x14ac:dyDescent="0.3">
      <c r="A88" t="s">
        <v>75</v>
      </c>
      <c r="B88">
        <f t="shared" ca="1" si="7"/>
        <v>0</v>
      </c>
      <c r="C88">
        <f t="shared" ca="1" si="8"/>
        <v>0</v>
      </c>
      <c r="D88" s="3">
        <f t="shared" ca="1" si="9"/>
        <v>0</v>
      </c>
      <c r="E88" s="20" t="str">
        <f t="shared" ca="1" si="10"/>
        <v>N/A</v>
      </c>
      <c r="F88" s="21"/>
    </row>
    <row r="89" spans="1:6" x14ac:dyDescent="0.3">
      <c r="A89" t="s">
        <v>76</v>
      </c>
      <c r="B89">
        <f t="shared" ca="1" si="7"/>
        <v>0</v>
      </c>
      <c r="C89">
        <f t="shared" ca="1" si="8"/>
        <v>0</v>
      </c>
      <c r="D89" s="3">
        <f t="shared" ca="1" si="9"/>
        <v>0</v>
      </c>
      <c r="E89" s="20" t="str">
        <f t="shared" ca="1" si="10"/>
        <v>N/A</v>
      </c>
      <c r="F89" s="21"/>
    </row>
    <row r="90" spans="1:6" x14ac:dyDescent="0.3">
      <c r="A90" t="s">
        <v>77</v>
      </c>
      <c r="B90">
        <f t="shared" ca="1" si="7"/>
        <v>0</v>
      </c>
      <c r="C90">
        <f t="shared" ca="1" si="8"/>
        <v>0</v>
      </c>
      <c r="D90" s="3">
        <f t="shared" ca="1" si="9"/>
        <v>0</v>
      </c>
      <c r="E90" s="20" t="str">
        <f t="shared" ca="1" si="10"/>
        <v>N/A</v>
      </c>
      <c r="F90" s="21"/>
    </row>
    <row r="91" spans="1:6" x14ac:dyDescent="0.3">
      <c r="A91" t="s">
        <v>78</v>
      </c>
      <c r="B91">
        <f t="shared" ca="1" si="7"/>
        <v>0</v>
      </c>
      <c r="C91">
        <f t="shared" ca="1" si="8"/>
        <v>0</v>
      </c>
      <c r="D91" s="3">
        <f t="shared" ca="1" si="9"/>
        <v>0</v>
      </c>
      <c r="E91" s="20" t="str">
        <f t="shared" ca="1" si="10"/>
        <v>N/A</v>
      </c>
      <c r="F91" s="21"/>
    </row>
    <row r="92" spans="1:6" x14ac:dyDescent="0.3">
      <c r="A92" t="s">
        <v>79</v>
      </c>
      <c r="B92">
        <f t="shared" ca="1" si="7"/>
        <v>0</v>
      </c>
      <c r="C92">
        <f t="shared" ca="1" si="8"/>
        <v>0</v>
      </c>
      <c r="D92" s="3">
        <f t="shared" ca="1" si="9"/>
        <v>0</v>
      </c>
      <c r="E92" s="20" t="str">
        <f t="shared" ca="1" si="10"/>
        <v>N/A</v>
      </c>
      <c r="F92" s="21"/>
    </row>
    <row r="93" spans="1:6" x14ac:dyDescent="0.3">
      <c r="A93" t="s">
        <v>80</v>
      </c>
      <c r="B93">
        <f t="shared" ca="1" si="7"/>
        <v>0</v>
      </c>
      <c r="C93">
        <f t="shared" ca="1" si="8"/>
        <v>0</v>
      </c>
      <c r="D93" s="3">
        <f t="shared" ca="1" si="9"/>
        <v>0</v>
      </c>
      <c r="E93" s="20" t="str">
        <f t="shared" ca="1" si="10"/>
        <v>N/A</v>
      </c>
      <c r="F93" s="21" t="s">
        <v>183</v>
      </c>
    </row>
    <row r="94" spans="1:6" x14ac:dyDescent="0.3">
      <c r="A94" t="s">
        <v>81</v>
      </c>
      <c r="B94">
        <f t="shared" ca="1" si="7"/>
        <v>0</v>
      </c>
      <c r="C94">
        <f t="shared" ca="1" si="8"/>
        <v>0</v>
      </c>
      <c r="D94" s="3">
        <f t="shared" ca="1" si="9"/>
        <v>0</v>
      </c>
      <c r="E94" s="20" t="str">
        <f t="shared" ca="1" si="10"/>
        <v>N/A</v>
      </c>
      <c r="F94" s="21"/>
    </row>
    <row r="95" spans="1:6" x14ac:dyDescent="0.3">
      <c r="A95" t="s">
        <v>82</v>
      </c>
      <c r="B95">
        <f t="shared" ca="1" si="7"/>
        <v>0</v>
      </c>
      <c r="C95">
        <f t="shared" ca="1" si="8"/>
        <v>0</v>
      </c>
      <c r="D95" s="3">
        <f t="shared" ca="1" si="9"/>
        <v>0</v>
      </c>
      <c r="E95" s="20" t="str">
        <f t="shared" ca="1" si="10"/>
        <v>N/A</v>
      </c>
      <c r="F95" s="21"/>
    </row>
    <row r="96" spans="1:6" x14ac:dyDescent="0.3">
      <c r="A96" t="s">
        <v>83</v>
      </c>
      <c r="B96">
        <f t="shared" ca="1" si="7"/>
        <v>0</v>
      </c>
      <c r="C96">
        <f t="shared" ca="1" si="8"/>
        <v>0</v>
      </c>
      <c r="D96" s="3">
        <f t="shared" ca="1" si="9"/>
        <v>0</v>
      </c>
      <c r="E96" s="20" t="str">
        <f t="shared" ca="1" si="10"/>
        <v>N/A</v>
      </c>
      <c r="F96" s="21"/>
    </row>
    <row r="97" spans="1:6" x14ac:dyDescent="0.3">
      <c r="A97" t="s">
        <v>84</v>
      </c>
      <c r="B97">
        <f t="shared" ca="1" si="7"/>
        <v>0</v>
      </c>
      <c r="C97">
        <f t="shared" ca="1" si="8"/>
        <v>0</v>
      </c>
      <c r="D97" s="3">
        <f t="shared" ca="1" si="9"/>
        <v>0</v>
      </c>
      <c r="E97" s="20" t="str">
        <f t="shared" ca="1" si="10"/>
        <v>N/A</v>
      </c>
      <c r="F97" s="21"/>
    </row>
    <row r="98" spans="1:6" x14ac:dyDescent="0.3">
      <c r="A98" t="s">
        <v>85</v>
      </c>
      <c r="B98">
        <f t="shared" ca="1" si="7"/>
        <v>0</v>
      </c>
      <c r="C98">
        <f t="shared" ca="1" si="8"/>
        <v>0</v>
      </c>
      <c r="D98" s="3">
        <f t="shared" ca="1" si="9"/>
        <v>0</v>
      </c>
      <c r="E98" s="20" t="str">
        <f t="shared" ca="1" si="10"/>
        <v>N/A</v>
      </c>
      <c r="F98" s="21"/>
    </row>
    <row r="99" spans="1:6" x14ac:dyDescent="0.3">
      <c r="A99" t="s">
        <v>86</v>
      </c>
      <c r="B99">
        <f t="shared" ca="1" si="7"/>
        <v>0</v>
      </c>
      <c r="C99">
        <f t="shared" ca="1" si="8"/>
        <v>0</v>
      </c>
      <c r="D99" s="3">
        <f t="shared" ca="1" si="9"/>
        <v>0</v>
      </c>
      <c r="E99" s="20" t="str">
        <f t="shared" ca="1" si="10"/>
        <v>N/A</v>
      </c>
      <c r="F99" s="21"/>
    </row>
    <row r="100" spans="1:6" x14ac:dyDescent="0.3">
      <c r="A100" t="s">
        <v>87</v>
      </c>
      <c r="B100">
        <f t="shared" ca="1" si="7"/>
        <v>0</v>
      </c>
      <c r="C100">
        <f t="shared" ca="1" si="8"/>
        <v>0</v>
      </c>
      <c r="D100" s="3">
        <f t="shared" ca="1" si="9"/>
        <v>0</v>
      </c>
      <c r="E100" s="20" t="str">
        <f t="shared" ca="1" si="10"/>
        <v>N/A</v>
      </c>
      <c r="F100" s="21"/>
    </row>
    <row r="101" spans="1:6" x14ac:dyDescent="0.3">
      <c r="A101" t="s">
        <v>88</v>
      </c>
      <c r="B101">
        <f t="shared" ca="1" si="7"/>
        <v>0</v>
      </c>
      <c r="C101">
        <f t="shared" ca="1" si="8"/>
        <v>0</v>
      </c>
      <c r="D101" s="3">
        <f t="shared" ca="1" si="9"/>
        <v>0</v>
      </c>
      <c r="E101" s="20" t="str">
        <f t="shared" ca="1" si="10"/>
        <v>N/A</v>
      </c>
      <c r="F101" s="21"/>
    </row>
    <row r="102" spans="1:6" x14ac:dyDescent="0.3">
      <c r="A102" t="s">
        <v>89</v>
      </c>
      <c r="B102">
        <f t="shared" ca="1" si="7"/>
        <v>0</v>
      </c>
      <c r="C102">
        <f t="shared" ca="1" si="8"/>
        <v>0</v>
      </c>
      <c r="D102" s="3">
        <f t="shared" ca="1" si="9"/>
        <v>0</v>
      </c>
      <c r="E102" s="20" t="str">
        <f t="shared" ca="1" si="10"/>
        <v>N/A</v>
      </c>
      <c r="F102" s="21"/>
    </row>
    <row r="103" spans="1:6" x14ac:dyDescent="0.3">
      <c r="A103" t="s">
        <v>90</v>
      </c>
      <c r="B103">
        <f t="shared" ca="1" si="7"/>
        <v>0</v>
      </c>
      <c r="C103">
        <f t="shared" ca="1" si="8"/>
        <v>0</v>
      </c>
      <c r="D103" s="3">
        <f t="shared" ca="1" si="9"/>
        <v>0</v>
      </c>
      <c r="E103" s="20" t="str">
        <f t="shared" ca="1" si="10"/>
        <v>N/A</v>
      </c>
      <c r="F103" s="21" t="s">
        <v>184</v>
      </c>
    </row>
    <row r="104" spans="1:6" x14ac:dyDescent="0.3">
      <c r="A104" t="s">
        <v>91</v>
      </c>
      <c r="B104">
        <f t="shared" ca="1" si="7"/>
        <v>0</v>
      </c>
      <c r="C104">
        <f t="shared" ca="1" si="8"/>
        <v>0</v>
      </c>
      <c r="D104" s="3">
        <f t="shared" ca="1" si="9"/>
        <v>0</v>
      </c>
      <c r="E104" s="20" t="str">
        <f t="shared" ca="1" si="10"/>
        <v>N/A</v>
      </c>
      <c r="F104" s="21"/>
    </row>
    <row r="105" spans="1:6" x14ac:dyDescent="0.3">
      <c r="A105" t="s">
        <v>92</v>
      </c>
      <c r="B105">
        <f t="shared" ca="1" si="7"/>
        <v>0</v>
      </c>
      <c r="C105">
        <f t="shared" ca="1" si="8"/>
        <v>0</v>
      </c>
      <c r="D105" s="3">
        <f t="shared" ca="1" si="9"/>
        <v>0</v>
      </c>
      <c r="E105" s="20" t="str">
        <f t="shared" ca="1" si="10"/>
        <v>N/A</v>
      </c>
      <c r="F105" s="21"/>
    </row>
    <row r="106" spans="1:6" x14ac:dyDescent="0.3">
      <c r="A106" t="s">
        <v>93</v>
      </c>
      <c r="B106">
        <f t="shared" ca="1" si="7"/>
        <v>0</v>
      </c>
      <c r="C106">
        <f t="shared" ca="1" si="8"/>
        <v>0</v>
      </c>
      <c r="D106" s="3">
        <f t="shared" ca="1" si="9"/>
        <v>0</v>
      </c>
      <c r="E106" s="20" t="str">
        <f t="shared" ca="1" si="10"/>
        <v>N/A</v>
      </c>
      <c r="F106" s="21"/>
    </row>
    <row r="107" spans="1:6" x14ac:dyDescent="0.3">
      <c r="A107" t="s">
        <v>94</v>
      </c>
      <c r="B107">
        <f t="shared" ca="1" si="7"/>
        <v>0</v>
      </c>
      <c r="C107">
        <f t="shared" ca="1" si="8"/>
        <v>0</v>
      </c>
      <c r="D107" s="3">
        <f t="shared" ca="1" si="9"/>
        <v>0</v>
      </c>
      <c r="E107" s="20" t="str">
        <f t="shared" ca="1" si="10"/>
        <v>N/A</v>
      </c>
      <c r="F107" s="21"/>
    </row>
    <row r="108" spans="1:6" x14ac:dyDescent="0.3">
      <c r="A108" t="s">
        <v>95</v>
      </c>
      <c r="B108">
        <f t="shared" ref="B108:B140" ca="1" si="11">IFERROR(
 SUMPRODUCT((GameListChampion=$B$1)*((GameListMode="Normal")+(GameListMode="Ranked"))*(GameListLaneOpponent=$A108)),0
)</f>
        <v>0</v>
      </c>
      <c r="C108">
        <f t="shared" ref="C108:C140" ca="1" si="12">IFERROR(
 SUMPRODUCT((GameListChampion=$B$1)*((GameListMode="Normal")+(GameListMode="Ranked"))*(GameListLaneOpponent=$A108)*GameListWinLoss),0
)</f>
        <v>0</v>
      </c>
      <c r="D108" s="3">
        <f t="shared" ca="1" si="9"/>
        <v>0</v>
      </c>
      <c r="E108" s="20" t="str">
        <f t="shared" ca="1" si="10"/>
        <v>N/A</v>
      </c>
      <c r="F108" s="21"/>
    </row>
    <row r="109" spans="1:6" x14ac:dyDescent="0.3">
      <c r="A109" t="s">
        <v>96</v>
      </c>
      <c r="B109">
        <f t="shared" ca="1" si="11"/>
        <v>0</v>
      </c>
      <c r="C109">
        <f t="shared" ca="1" si="12"/>
        <v>0</v>
      </c>
      <c r="D109" s="3">
        <f t="shared" ca="1" si="9"/>
        <v>0</v>
      </c>
      <c r="E109" s="20" t="str">
        <f t="shared" ca="1" si="10"/>
        <v>N/A</v>
      </c>
      <c r="F109" s="21"/>
    </row>
    <row r="110" spans="1:6" x14ac:dyDescent="0.3">
      <c r="A110" t="s">
        <v>97</v>
      </c>
      <c r="B110">
        <f t="shared" ca="1" si="11"/>
        <v>0</v>
      </c>
      <c r="C110">
        <f t="shared" ca="1" si="12"/>
        <v>0</v>
      </c>
      <c r="D110" s="3">
        <f t="shared" ca="1" si="9"/>
        <v>0</v>
      </c>
      <c r="E110" s="20" t="str">
        <f t="shared" ca="1" si="10"/>
        <v>N/A</v>
      </c>
      <c r="F110" s="21"/>
    </row>
    <row r="111" spans="1:6" x14ac:dyDescent="0.3">
      <c r="A111" t="s">
        <v>98</v>
      </c>
      <c r="B111">
        <f t="shared" ca="1" si="11"/>
        <v>0</v>
      </c>
      <c r="C111">
        <f t="shared" ca="1" si="12"/>
        <v>0</v>
      </c>
      <c r="D111" s="3">
        <f t="shared" ca="1" si="9"/>
        <v>0</v>
      </c>
      <c r="E111" s="20" t="str">
        <f t="shared" ca="1" si="10"/>
        <v>N/A</v>
      </c>
      <c r="F111" s="21"/>
    </row>
    <row r="112" spans="1:6" x14ac:dyDescent="0.3">
      <c r="A112" t="s">
        <v>99</v>
      </c>
      <c r="B112">
        <f t="shared" ca="1" si="11"/>
        <v>0</v>
      </c>
      <c r="C112">
        <f t="shared" ca="1" si="12"/>
        <v>0</v>
      </c>
      <c r="D112" s="3">
        <f t="shared" ca="1" si="9"/>
        <v>0</v>
      </c>
      <c r="E112" s="20" t="str">
        <f t="shared" ca="1" si="10"/>
        <v>N/A</v>
      </c>
      <c r="F112" s="21"/>
    </row>
    <row r="113" spans="1:6" x14ac:dyDescent="0.3">
      <c r="A113" t="s">
        <v>100</v>
      </c>
      <c r="B113">
        <f t="shared" ca="1" si="11"/>
        <v>0</v>
      </c>
      <c r="C113">
        <f t="shared" ca="1" si="12"/>
        <v>0</v>
      </c>
      <c r="D113" s="3">
        <f t="shared" ca="1" si="9"/>
        <v>0</v>
      </c>
      <c r="E113" s="20" t="str">
        <f t="shared" ca="1" si="10"/>
        <v>N/A</v>
      </c>
      <c r="F113" s="21"/>
    </row>
    <row r="114" spans="1:6" x14ac:dyDescent="0.3">
      <c r="A114" t="s">
        <v>101</v>
      </c>
      <c r="B114">
        <f t="shared" ca="1" si="11"/>
        <v>0</v>
      </c>
      <c r="C114">
        <f t="shared" ca="1" si="12"/>
        <v>0</v>
      </c>
      <c r="D114" s="3">
        <f t="shared" ca="1" si="9"/>
        <v>0</v>
      </c>
      <c r="E114" s="20" t="str">
        <f t="shared" ca="1" si="10"/>
        <v>N/A</v>
      </c>
      <c r="F114" s="21"/>
    </row>
    <row r="115" spans="1:6" x14ac:dyDescent="0.3">
      <c r="A115" t="s">
        <v>102</v>
      </c>
      <c r="B115">
        <f t="shared" ca="1" si="11"/>
        <v>0</v>
      </c>
      <c r="C115">
        <f t="shared" ca="1" si="12"/>
        <v>0</v>
      </c>
      <c r="D115" s="3">
        <f t="shared" ca="1" si="9"/>
        <v>0</v>
      </c>
      <c r="E115" s="20" t="str">
        <f t="shared" ca="1" si="10"/>
        <v>N/A</v>
      </c>
      <c r="F115" s="21"/>
    </row>
    <row r="116" spans="1:6" x14ac:dyDescent="0.3">
      <c r="A116" t="s">
        <v>103</v>
      </c>
      <c r="B116">
        <f t="shared" ca="1" si="11"/>
        <v>0</v>
      </c>
      <c r="C116">
        <f t="shared" ca="1" si="12"/>
        <v>0</v>
      </c>
      <c r="D116" s="3">
        <f t="shared" ca="1" si="9"/>
        <v>0</v>
      </c>
      <c r="E116" s="20" t="str">
        <f t="shared" ca="1" si="10"/>
        <v>N/A</v>
      </c>
      <c r="F116" s="21"/>
    </row>
    <row r="117" spans="1:6" x14ac:dyDescent="0.3">
      <c r="A117" t="s">
        <v>104</v>
      </c>
      <c r="B117">
        <f t="shared" ca="1" si="11"/>
        <v>0</v>
      </c>
      <c r="C117">
        <f t="shared" ca="1" si="12"/>
        <v>0</v>
      </c>
      <c r="D117" s="3">
        <f t="shared" ca="1" si="9"/>
        <v>0</v>
      </c>
      <c r="E117" s="20" t="str">
        <f t="shared" ca="1" si="10"/>
        <v>N/A</v>
      </c>
      <c r="F117" s="21"/>
    </row>
    <row r="118" spans="1:6" x14ac:dyDescent="0.3">
      <c r="A118" t="s">
        <v>105</v>
      </c>
      <c r="B118">
        <f t="shared" ca="1" si="11"/>
        <v>0</v>
      </c>
      <c r="C118">
        <f t="shared" ca="1" si="12"/>
        <v>0</v>
      </c>
      <c r="D118" s="3">
        <f t="shared" ca="1" si="9"/>
        <v>0</v>
      </c>
      <c r="E118" s="20" t="str">
        <f t="shared" ca="1" si="10"/>
        <v>N/A</v>
      </c>
      <c r="F118" s="21"/>
    </row>
    <row r="119" spans="1:6" x14ac:dyDescent="0.3">
      <c r="A119" t="s">
        <v>106</v>
      </c>
      <c r="B119">
        <f t="shared" ca="1" si="11"/>
        <v>0</v>
      </c>
      <c r="C119">
        <f t="shared" ca="1" si="12"/>
        <v>0</v>
      </c>
      <c r="D119" s="3">
        <f t="shared" ca="1" si="9"/>
        <v>0</v>
      </c>
      <c r="E119" s="20" t="str">
        <f t="shared" ca="1" si="10"/>
        <v>N/A</v>
      </c>
      <c r="F119" s="21"/>
    </row>
    <row r="120" spans="1:6" x14ac:dyDescent="0.3">
      <c r="A120" t="s">
        <v>107</v>
      </c>
      <c r="B120">
        <f t="shared" ca="1" si="11"/>
        <v>0</v>
      </c>
      <c r="C120">
        <f t="shared" ca="1" si="12"/>
        <v>0</v>
      </c>
      <c r="D120" s="3">
        <f t="shared" ca="1" si="9"/>
        <v>0</v>
      </c>
      <c r="E120" s="20" t="str">
        <f t="shared" ca="1" si="10"/>
        <v>N/A</v>
      </c>
      <c r="F120" s="21"/>
    </row>
    <row r="121" spans="1:6" x14ac:dyDescent="0.3">
      <c r="A121" t="s">
        <v>108</v>
      </c>
      <c r="B121">
        <f t="shared" ca="1" si="11"/>
        <v>0</v>
      </c>
      <c r="C121">
        <f t="shared" ca="1" si="12"/>
        <v>0</v>
      </c>
      <c r="D121" s="3">
        <f t="shared" ca="1" si="9"/>
        <v>0</v>
      </c>
      <c r="E121" s="20" t="str">
        <f t="shared" ca="1" si="10"/>
        <v>N/A</v>
      </c>
      <c r="F121" s="21"/>
    </row>
    <row r="122" spans="1:6" x14ac:dyDescent="0.3">
      <c r="A122" t="s">
        <v>109</v>
      </c>
      <c r="B122">
        <f t="shared" ca="1" si="11"/>
        <v>0</v>
      </c>
      <c r="C122">
        <f t="shared" ca="1" si="12"/>
        <v>0</v>
      </c>
      <c r="D122" s="3">
        <f t="shared" ca="1" si="9"/>
        <v>0</v>
      </c>
      <c r="E122" s="20" t="str">
        <f t="shared" ca="1" si="10"/>
        <v>N/A</v>
      </c>
      <c r="F122" s="21"/>
    </row>
    <row r="123" spans="1:6" x14ac:dyDescent="0.3">
      <c r="A123" t="s">
        <v>110</v>
      </c>
      <c r="B123">
        <f t="shared" ca="1" si="11"/>
        <v>0</v>
      </c>
      <c r="C123">
        <f t="shared" ca="1" si="12"/>
        <v>0</v>
      </c>
      <c r="D123" s="3">
        <f t="shared" ca="1" si="9"/>
        <v>0</v>
      </c>
      <c r="E123" s="20" t="str">
        <f t="shared" ca="1" si="10"/>
        <v>N/A</v>
      </c>
      <c r="F123" s="21"/>
    </row>
    <row r="124" spans="1:6" x14ac:dyDescent="0.3">
      <c r="A124" t="s">
        <v>111</v>
      </c>
      <c r="B124">
        <f t="shared" ca="1" si="11"/>
        <v>0</v>
      </c>
      <c r="C124">
        <f t="shared" ca="1" si="12"/>
        <v>0</v>
      </c>
      <c r="D124" s="3">
        <f t="shared" ca="1" si="9"/>
        <v>0</v>
      </c>
      <c r="E124" s="20" t="str">
        <f t="shared" ca="1" si="10"/>
        <v>N/A</v>
      </c>
      <c r="F124" s="21"/>
    </row>
    <row r="125" spans="1:6" x14ac:dyDescent="0.3">
      <c r="A125" t="s">
        <v>112</v>
      </c>
      <c r="B125">
        <f t="shared" ca="1" si="11"/>
        <v>0</v>
      </c>
      <c r="C125">
        <f t="shared" ca="1" si="12"/>
        <v>0</v>
      </c>
      <c r="D125" s="3">
        <f t="shared" ca="1" si="9"/>
        <v>0</v>
      </c>
      <c r="E125" s="20" t="str">
        <f t="shared" ca="1" si="10"/>
        <v>N/A</v>
      </c>
      <c r="F125" s="21"/>
    </row>
    <row r="126" spans="1:6" x14ac:dyDescent="0.3">
      <c r="A126" t="s">
        <v>113</v>
      </c>
      <c r="B126">
        <f t="shared" ca="1" si="11"/>
        <v>0</v>
      </c>
      <c r="C126">
        <f t="shared" ca="1" si="12"/>
        <v>0</v>
      </c>
      <c r="D126" s="3">
        <f t="shared" ca="1" si="9"/>
        <v>0</v>
      </c>
      <c r="E126" s="20" t="str">
        <f t="shared" ca="1" si="10"/>
        <v>N/A</v>
      </c>
      <c r="F126" s="21"/>
    </row>
    <row r="127" spans="1:6" x14ac:dyDescent="0.3">
      <c r="A127" t="s">
        <v>114</v>
      </c>
      <c r="B127">
        <f t="shared" ca="1" si="11"/>
        <v>0</v>
      </c>
      <c r="C127">
        <f t="shared" ca="1" si="12"/>
        <v>0</v>
      </c>
      <c r="D127" s="3">
        <f t="shared" ca="1" si="9"/>
        <v>0</v>
      </c>
      <c r="E127" s="20" t="str">
        <f t="shared" ca="1" si="10"/>
        <v>N/A</v>
      </c>
      <c r="F127" s="21"/>
    </row>
    <row r="128" spans="1:6" x14ac:dyDescent="0.3">
      <c r="A128" t="s">
        <v>115</v>
      </c>
      <c r="B128">
        <f t="shared" ca="1" si="11"/>
        <v>0</v>
      </c>
      <c r="C128">
        <f t="shared" ca="1" si="12"/>
        <v>0</v>
      </c>
      <c r="D128" s="3">
        <f t="shared" ca="1" si="9"/>
        <v>0</v>
      </c>
      <c r="E128" s="20" t="str">
        <f t="shared" ca="1" si="10"/>
        <v>N/A</v>
      </c>
      <c r="F128" s="21"/>
    </row>
    <row r="129" spans="1:6" x14ac:dyDescent="0.3">
      <c r="A129" t="s">
        <v>116</v>
      </c>
      <c r="B129">
        <f t="shared" ca="1" si="11"/>
        <v>0</v>
      </c>
      <c r="C129">
        <f t="shared" ca="1" si="12"/>
        <v>0</v>
      </c>
      <c r="D129" s="3">
        <f t="shared" ca="1" si="9"/>
        <v>0</v>
      </c>
      <c r="E129" s="20" t="str">
        <f t="shared" ca="1" si="10"/>
        <v>N/A</v>
      </c>
      <c r="F129" s="21"/>
    </row>
    <row r="130" spans="1:6" x14ac:dyDescent="0.3">
      <c r="A130" t="s">
        <v>117</v>
      </c>
      <c r="B130">
        <f t="shared" ca="1" si="11"/>
        <v>0</v>
      </c>
      <c r="C130">
        <f t="shared" ca="1" si="12"/>
        <v>0</v>
      </c>
      <c r="D130" s="3">
        <f t="shared" ca="1" si="9"/>
        <v>0</v>
      </c>
      <c r="E130" s="20" t="str">
        <f t="shared" ca="1" si="10"/>
        <v>N/A</v>
      </c>
      <c r="F130" s="21"/>
    </row>
    <row r="131" spans="1:6" x14ac:dyDescent="0.3">
      <c r="A131" t="s">
        <v>118</v>
      </c>
      <c r="B131">
        <f t="shared" ca="1" si="11"/>
        <v>0</v>
      </c>
      <c r="C131">
        <f t="shared" ca="1" si="12"/>
        <v>0</v>
      </c>
      <c r="D131" s="3">
        <f t="shared" ca="1" si="9"/>
        <v>0</v>
      </c>
      <c r="E131" s="20" t="str">
        <f t="shared" ca="1" si="10"/>
        <v>N/A</v>
      </c>
      <c r="F131" s="21"/>
    </row>
    <row r="132" spans="1:6" x14ac:dyDescent="0.3">
      <c r="A132" t="s">
        <v>119</v>
      </c>
      <c r="B132">
        <f t="shared" ca="1" si="11"/>
        <v>0</v>
      </c>
      <c r="C132">
        <f t="shared" ca="1" si="12"/>
        <v>0</v>
      </c>
      <c r="D132" s="3">
        <f t="shared" ca="1" si="9"/>
        <v>0</v>
      </c>
      <c r="E132" s="20" t="str">
        <f t="shared" ca="1" si="10"/>
        <v>N/A</v>
      </c>
      <c r="F132" s="21"/>
    </row>
    <row r="133" spans="1:6" x14ac:dyDescent="0.3">
      <c r="A133" t="s">
        <v>120</v>
      </c>
      <c r="B133">
        <f t="shared" ca="1" si="11"/>
        <v>0</v>
      </c>
      <c r="C133">
        <f t="shared" ca="1" si="12"/>
        <v>0</v>
      </c>
      <c r="D133" s="3">
        <f t="shared" ca="1" si="9"/>
        <v>0</v>
      </c>
      <c r="E133" s="20" t="str">
        <f t="shared" ca="1" si="10"/>
        <v>N/A</v>
      </c>
      <c r="F133" s="21"/>
    </row>
    <row r="134" spans="1:6" x14ac:dyDescent="0.3">
      <c r="A134" t="s">
        <v>121</v>
      </c>
      <c r="B134">
        <f t="shared" ca="1" si="11"/>
        <v>0</v>
      </c>
      <c r="C134">
        <f t="shared" ca="1" si="12"/>
        <v>0</v>
      </c>
      <c r="D134" s="3">
        <f t="shared" ca="1" si="9"/>
        <v>0</v>
      </c>
      <c r="E134" s="20" t="str">
        <f t="shared" ca="1" si="10"/>
        <v>N/A</v>
      </c>
      <c r="F134" s="21"/>
    </row>
    <row r="135" spans="1:6" x14ac:dyDescent="0.3">
      <c r="A135" t="s">
        <v>122</v>
      </c>
      <c r="B135">
        <f t="shared" ca="1" si="11"/>
        <v>0</v>
      </c>
      <c r="C135">
        <f t="shared" ca="1" si="12"/>
        <v>0</v>
      </c>
      <c r="D135" s="3">
        <f t="shared" ca="1" si="9"/>
        <v>0</v>
      </c>
      <c r="E135" s="20" t="str">
        <f t="shared" ca="1" si="10"/>
        <v>N/A</v>
      </c>
      <c r="F135" s="21"/>
    </row>
    <row r="136" spans="1:6" x14ac:dyDescent="0.3">
      <c r="A136" t="s">
        <v>123</v>
      </c>
      <c r="B136">
        <f t="shared" ca="1" si="11"/>
        <v>0</v>
      </c>
      <c r="C136">
        <f t="shared" ca="1" si="12"/>
        <v>0</v>
      </c>
      <c r="D136" s="3">
        <f t="shared" ca="1" si="9"/>
        <v>0</v>
      </c>
      <c r="E136" s="20" t="str">
        <f t="shared" ca="1" si="10"/>
        <v>N/A</v>
      </c>
      <c r="F136" s="21"/>
    </row>
    <row r="137" spans="1:6" x14ac:dyDescent="0.3">
      <c r="A137" t="s">
        <v>124</v>
      </c>
      <c r="B137">
        <f t="shared" ca="1" si="11"/>
        <v>0</v>
      </c>
      <c r="C137">
        <f t="shared" ca="1" si="12"/>
        <v>0</v>
      </c>
      <c r="D137" s="3">
        <f t="shared" ca="1" si="9"/>
        <v>0</v>
      </c>
      <c r="E137" s="20" t="str">
        <f t="shared" ca="1" si="10"/>
        <v>N/A</v>
      </c>
      <c r="F137" s="21"/>
    </row>
    <row r="138" spans="1:6" x14ac:dyDescent="0.3">
      <c r="A138" t="s">
        <v>125</v>
      </c>
      <c r="B138">
        <f t="shared" ca="1" si="11"/>
        <v>0</v>
      </c>
      <c r="C138">
        <f t="shared" ca="1" si="12"/>
        <v>0</v>
      </c>
      <c r="D138" s="3">
        <f t="shared" ca="1" si="9"/>
        <v>0</v>
      </c>
      <c r="E138" s="20" t="str">
        <f t="shared" ca="1" si="10"/>
        <v>N/A</v>
      </c>
      <c r="F138" s="21"/>
    </row>
    <row r="139" spans="1:6" x14ac:dyDescent="0.3">
      <c r="A139" t="s">
        <v>126</v>
      </c>
      <c r="B139">
        <f t="shared" ca="1" si="11"/>
        <v>0</v>
      </c>
      <c r="C139">
        <f t="shared" ca="1" si="12"/>
        <v>0</v>
      </c>
      <c r="D139" s="3">
        <f t="shared" ca="1" si="9"/>
        <v>0</v>
      </c>
      <c r="E139" s="20" t="str">
        <f t="shared" ca="1" si="10"/>
        <v>N/A</v>
      </c>
      <c r="F139" s="21"/>
    </row>
    <row r="140" spans="1:6" x14ac:dyDescent="0.3">
      <c r="A140" t="s">
        <v>127</v>
      </c>
      <c r="B140">
        <f t="shared" ca="1" si="11"/>
        <v>0</v>
      </c>
      <c r="C140">
        <f t="shared" ca="1" si="12"/>
        <v>0</v>
      </c>
      <c r="D140" s="3">
        <f t="shared" ca="1" si="9"/>
        <v>0</v>
      </c>
      <c r="E140" s="20" t="str">
        <f t="shared" ca="1" si="10"/>
        <v>N/A</v>
      </c>
      <c r="F140" s="21"/>
    </row>
    <row r="141" spans="1:6" x14ac:dyDescent="0.3">
      <c r="E141" s="3"/>
    </row>
  </sheetData>
  <pageMargins left="0.7" right="0.7" top="0.75" bottom="0.75" header="0.3" footer="0.3"/>
  <pageSetup paperSize="9" orientation="portrait" horizontalDpi="4294967294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Y130"/>
  <sheetViews>
    <sheetView workbookViewId="0">
      <selection activeCell="J10" sqref="J10"/>
    </sheetView>
  </sheetViews>
  <sheetFormatPr defaultRowHeight="14.4" x14ac:dyDescent="0.3"/>
  <sheetData>
    <row r="1" spans="1:12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196</v>
      </c>
    </row>
    <row r="2" spans="1:129" x14ac:dyDescent="0.3">
      <c r="DR2" s="21"/>
    </row>
    <row r="3" spans="1:129" x14ac:dyDescent="0.3">
      <c r="DR3" s="21"/>
    </row>
    <row r="4" spans="1:129" x14ac:dyDescent="0.3">
      <c r="DR4" s="21"/>
    </row>
    <row r="5" spans="1:129" x14ac:dyDescent="0.3">
      <c r="DR5" s="21"/>
    </row>
    <row r="6" spans="1:129" x14ac:dyDescent="0.3">
      <c r="DR6" s="21"/>
    </row>
    <row r="7" spans="1:129" x14ac:dyDescent="0.3">
      <c r="DR7" s="21"/>
    </row>
    <row r="8" spans="1:129" x14ac:dyDescent="0.3">
      <c r="DR8" s="21"/>
    </row>
    <row r="9" spans="1:129" x14ac:dyDescent="0.3">
      <c r="DR9" s="21"/>
    </row>
    <row r="10" spans="1:129" x14ac:dyDescent="0.3">
      <c r="DR10" s="21"/>
    </row>
    <row r="11" spans="1:129" x14ac:dyDescent="0.3">
      <c r="DR11" s="21"/>
    </row>
    <row r="12" spans="1:129" x14ac:dyDescent="0.3">
      <c r="DR12" s="21"/>
    </row>
    <row r="13" spans="1:129" x14ac:dyDescent="0.3">
      <c r="DR13" s="21"/>
    </row>
    <row r="14" spans="1:129" x14ac:dyDescent="0.3">
      <c r="DR14" s="21"/>
    </row>
    <row r="15" spans="1:129" x14ac:dyDescent="0.3">
      <c r="DR15" s="21"/>
    </row>
    <row r="16" spans="1:129" x14ac:dyDescent="0.3">
      <c r="DR16" s="21"/>
    </row>
    <row r="17" spans="122:122" x14ac:dyDescent="0.3">
      <c r="DR17" s="21"/>
    </row>
    <row r="18" spans="122:122" x14ac:dyDescent="0.3">
      <c r="DR18" s="21"/>
    </row>
    <row r="19" spans="122:122" x14ac:dyDescent="0.3">
      <c r="DR19" s="21"/>
    </row>
    <row r="20" spans="122:122" x14ac:dyDescent="0.3">
      <c r="DR20" s="21"/>
    </row>
    <row r="21" spans="122:122" x14ac:dyDescent="0.3">
      <c r="DR21" s="21"/>
    </row>
    <row r="22" spans="122:122" x14ac:dyDescent="0.3">
      <c r="DR22" s="21"/>
    </row>
    <row r="23" spans="122:122" x14ac:dyDescent="0.3">
      <c r="DR23" s="21"/>
    </row>
    <row r="24" spans="122:122" x14ac:dyDescent="0.3">
      <c r="DR24" s="21"/>
    </row>
    <row r="25" spans="122:122" x14ac:dyDescent="0.3">
      <c r="DR25" s="21"/>
    </row>
    <row r="26" spans="122:122" x14ac:dyDescent="0.3">
      <c r="DR26" s="21"/>
    </row>
    <row r="27" spans="122:122" x14ac:dyDescent="0.3">
      <c r="DR27" s="21"/>
    </row>
    <row r="28" spans="122:122" x14ac:dyDescent="0.3">
      <c r="DR28" s="21"/>
    </row>
    <row r="29" spans="122:122" x14ac:dyDescent="0.3">
      <c r="DR29" s="21"/>
    </row>
    <row r="30" spans="122:122" x14ac:dyDescent="0.3">
      <c r="DR30" s="21"/>
    </row>
    <row r="31" spans="122:122" x14ac:dyDescent="0.3">
      <c r="DR31" s="21"/>
    </row>
    <row r="32" spans="122:122" x14ac:dyDescent="0.3">
      <c r="DR32" s="21"/>
    </row>
    <row r="33" spans="122:122" x14ac:dyDescent="0.3">
      <c r="DR33" s="21"/>
    </row>
    <row r="34" spans="122:122" x14ac:dyDescent="0.3">
      <c r="DR34" s="21"/>
    </row>
    <row r="35" spans="122:122" x14ac:dyDescent="0.3">
      <c r="DR35" s="21"/>
    </row>
    <row r="36" spans="122:122" x14ac:dyDescent="0.3">
      <c r="DR36" s="21"/>
    </row>
    <row r="37" spans="122:122" x14ac:dyDescent="0.3">
      <c r="DR37" s="21"/>
    </row>
    <row r="38" spans="122:122" x14ac:dyDescent="0.3">
      <c r="DR38" s="21"/>
    </row>
    <row r="39" spans="122:122" x14ac:dyDescent="0.3">
      <c r="DR39" s="21"/>
    </row>
    <row r="40" spans="122:122" x14ac:dyDescent="0.3">
      <c r="DR40" s="21"/>
    </row>
    <row r="41" spans="122:122" x14ac:dyDescent="0.3">
      <c r="DR41" s="21"/>
    </row>
    <row r="42" spans="122:122" x14ac:dyDescent="0.3">
      <c r="DR42" s="21"/>
    </row>
    <row r="43" spans="122:122" x14ac:dyDescent="0.3">
      <c r="DR43" s="21"/>
    </row>
    <row r="44" spans="122:122" x14ac:dyDescent="0.3">
      <c r="DR44" s="21"/>
    </row>
    <row r="45" spans="122:122" x14ac:dyDescent="0.3">
      <c r="DR45" s="21"/>
    </row>
    <row r="46" spans="122:122" x14ac:dyDescent="0.3">
      <c r="DR46" s="21"/>
    </row>
    <row r="47" spans="122:122" x14ac:dyDescent="0.3">
      <c r="DR47" s="21"/>
    </row>
    <row r="48" spans="122:122" x14ac:dyDescent="0.3">
      <c r="DR48" s="21"/>
    </row>
    <row r="49" spans="122:122" x14ac:dyDescent="0.3">
      <c r="DR49" s="21"/>
    </row>
    <row r="50" spans="122:122" x14ac:dyDescent="0.3">
      <c r="DR50" s="21"/>
    </row>
    <row r="51" spans="122:122" x14ac:dyDescent="0.3">
      <c r="DR51" s="21"/>
    </row>
    <row r="52" spans="122:122" x14ac:dyDescent="0.3">
      <c r="DR52" s="21"/>
    </row>
    <row r="53" spans="122:122" x14ac:dyDescent="0.3">
      <c r="DR53" s="21"/>
    </row>
    <row r="54" spans="122:122" x14ac:dyDescent="0.3">
      <c r="DR54" s="21"/>
    </row>
    <row r="55" spans="122:122" x14ac:dyDescent="0.3">
      <c r="DR55" s="21"/>
    </row>
    <row r="56" spans="122:122" x14ac:dyDescent="0.3">
      <c r="DR56" s="21"/>
    </row>
    <row r="57" spans="122:122" x14ac:dyDescent="0.3">
      <c r="DR57" s="21"/>
    </row>
    <row r="58" spans="122:122" x14ac:dyDescent="0.3">
      <c r="DR58" s="21"/>
    </row>
    <row r="59" spans="122:122" x14ac:dyDescent="0.3">
      <c r="DR59" s="21"/>
    </row>
    <row r="60" spans="122:122" x14ac:dyDescent="0.3">
      <c r="DR60" s="21"/>
    </row>
    <row r="61" spans="122:122" x14ac:dyDescent="0.3">
      <c r="DR61" s="21"/>
    </row>
    <row r="62" spans="122:122" x14ac:dyDescent="0.3">
      <c r="DR62" s="21"/>
    </row>
    <row r="63" spans="122:122" x14ac:dyDescent="0.3">
      <c r="DR63" s="21"/>
    </row>
    <row r="64" spans="122:122" x14ac:dyDescent="0.3">
      <c r="DR64" s="21"/>
    </row>
    <row r="65" spans="122:122" x14ac:dyDescent="0.3">
      <c r="DR65" s="21"/>
    </row>
    <row r="66" spans="122:122" x14ac:dyDescent="0.3">
      <c r="DR66" s="21"/>
    </row>
    <row r="67" spans="122:122" x14ac:dyDescent="0.3">
      <c r="DR67" s="21"/>
    </row>
    <row r="68" spans="122:122" x14ac:dyDescent="0.3">
      <c r="DR68" s="21"/>
    </row>
    <row r="69" spans="122:122" x14ac:dyDescent="0.3">
      <c r="DR69" s="21"/>
    </row>
    <row r="70" spans="122:122" x14ac:dyDescent="0.3">
      <c r="DR70" s="21"/>
    </row>
    <row r="71" spans="122:122" x14ac:dyDescent="0.3">
      <c r="DR71" s="21"/>
    </row>
    <row r="72" spans="122:122" x14ac:dyDescent="0.3">
      <c r="DR72" s="21"/>
    </row>
    <row r="73" spans="122:122" x14ac:dyDescent="0.3">
      <c r="DR73" s="21"/>
    </row>
    <row r="74" spans="122:122" x14ac:dyDescent="0.3">
      <c r="DR74" s="21"/>
    </row>
    <row r="75" spans="122:122" x14ac:dyDescent="0.3">
      <c r="DR75" s="21"/>
    </row>
    <row r="76" spans="122:122" x14ac:dyDescent="0.3">
      <c r="DR76" s="21"/>
    </row>
    <row r="77" spans="122:122" x14ac:dyDescent="0.3">
      <c r="DR77" s="21"/>
    </row>
    <row r="78" spans="122:122" x14ac:dyDescent="0.3">
      <c r="DR78" s="21"/>
    </row>
    <row r="79" spans="122:122" x14ac:dyDescent="0.3">
      <c r="DR79" s="21"/>
    </row>
    <row r="80" spans="122:122" x14ac:dyDescent="0.3">
      <c r="DR80" s="21"/>
    </row>
    <row r="81" spans="122:122" x14ac:dyDescent="0.3">
      <c r="DR81" s="21"/>
    </row>
    <row r="82" spans="122:122" x14ac:dyDescent="0.3">
      <c r="DR82" s="21"/>
    </row>
    <row r="83" spans="122:122" x14ac:dyDescent="0.3">
      <c r="DR83" s="21"/>
    </row>
    <row r="84" spans="122:122" x14ac:dyDescent="0.3">
      <c r="DR84" s="21"/>
    </row>
    <row r="85" spans="122:122" x14ac:dyDescent="0.3">
      <c r="DR85" s="21"/>
    </row>
    <row r="86" spans="122:122" x14ac:dyDescent="0.3">
      <c r="DR86" s="21"/>
    </row>
    <row r="87" spans="122:122" x14ac:dyDescent="0.3">
      <c r="DR87" s="21"/>
    </row>
    <row r="88" spans="122:122" x14ac:dyDescent="0.3">
      <c r="DR88" s="21"/>
    </row>
    <row r="89" spans="122:122" x14ac:dyDescent="0.3">
      <c r="DR89" s="21"/>
    </row>
    <row r="90" spans="122:122" x14ac:dyDescent="0.3">
      <c r="DR90" s="21"/>
    </row>
    <row r="91" spans="122:122" x14ac:dyDescent="0.3">
      <c r="DR91" s="21"/>
    </row>
    <row r="92" spans="122:122" x14ac:dyDescent="0.3">
      <c r="DR92" s="21"/>
    </row>
    <row r="93" spans="122:122" x14ac:dyDescent="0.3">
      <c r="DR93" s="21"/>
    </row>
    <row r="94" spans="122:122" x14ac:dyDescent="0.3">
      <c r="DR94" s="21"/>
    </row>
    <row r="95" spans="122:122" x14ac:dyDescent="0.3">
      <c r="DR95" s="21"/>
    </row>
    <row r="96" spans="122:122" x14ac:dyDescent="0.3">
      <c r="DR96" s="21"/>
    </row>
    <row r="97" spans="122:122" x14ac:dyDescent="0.3">
      <c r="DR97" s="21"/>
    </row>
    <row r="98" spans="122:122" x14ac:dyDescent="0.3">
      <c r="DR98" s="21"/>
    </row>
    <row r="99" spans="122:122" x14ac:dyDescent="0.3">
      <c r="DR99" s="21"/>
    </row>
    <row r="100" spans="122:122" x14ac:dyDescent="0.3">
      <c r="DR100" s="21"/>
    </row>
    <row r="101" spans="122:122" x14ac:dyDescent="0.3">
      <c r="DR101" s="21"/>
    </row>
    <row r="102" spans="122:122" x14ac:dyDescent="0.3">
      <c r="DR102" s="21"/>
    </row>
    <row r="103" spans="122:122" x14ac:dyDescent="0.3">
      <c r="DR103" s="21"/>
    </row>
    <row r="104" spans="122:122" x14ac:dyDescent="0.3">
      <c r="DR104" s="21"/>
    </row>
    <row r="105" spans="122:122" x14ac:dyDescent="0.3">
      <c r="DR105" s="21"/>
    </row>
    <row r="106" spans="122:122" x14ac:dyDescent="0.3">
      <c r="DR106" s="21"/>
    </row>
    <row r="107" spans="122:122" x14ac:dyDescent="0.3">
      <c r="DR107" s="21"/>
    </row>
    <row r="108" spans="122:122" x14ac:dyDescent="0.3">
      <c r="DR108" s="21"/>
    </row>
    <row r="109" spans="122:122" x14ac:dyDescent="0.3">
      <c r="DR109" s="21"/>
    </row>
    <row r="110" spans="122:122" x14ac:dyDescent="0.3">
      <c r="DR110" s="21"/>
    </row>
    <row r="111" spans="122:122" x14ac:dyDescent="0.3">
      <c r="DR111" s="21"/>
    </row>
    <row r="112" spans="122:122" x14ac:dyDescent="0.3">
      <c r="DR112" s="21"/>
    </row>
    <row r="113" spans="122:122" x14ac:dyDescent="0.3">
      <c r="DR113" s="21"/>
    </row>
    <row r="114" spans="122:122" x14ac:dyDescent="0.3">
      <c r="DR114" s="21"/>
    </row>
    <row r="115" spans="122:122" x14ac:dyDescent="0.3">
      <c r="DR115" s="21"/>
    </row>
    <row r="116" spans="122:122" x14ac:dyDescent="0.3">
      <c r="DR116" s="21"/>
    </row>
    <row r="117" spans="122:122" x14ac:dyDescent="0.3">
      <c r="DR117" s="21"/>
    </row>
    <row r="118" spans="122:122" x14ac:dyDescent="0.3">
      <c r="DR118" s="21"/>
    </row>
    <row r="119" spans="122:122" x14ac:dyDescent="0.3">
      <c r="DR119" s="21"/>
    </row>
    <row r="120" spans="122:122" x14ac:dyDescent="0.3">
      <c r="DR120" s="21"/>
    </row>
    <row r="121" spans="122:122" x14ac:dyDescent="0.3">
      <c r="DR121" s="21"/>
    </row>
    <row r="122" spans="122:122" x14ac:dyDescent="0.3">
      <c r="DR122" s="21"/>
    </row>
    <row r="123" spans="122:122" x14ac:dyDescent="0.3">
      <c r="DR123" s="21"/>
    </row>
    <row r="124" spans="122:122" x14ac:dyDescent="0.3">
      <c r="DR124" s="21"/>
    </row>
    <row r="125" spans="122:122" x14ac:dyDescent="0.3">
      <c r="DR125" s="21"/>
    </row>
    <row r="126" spans="122:122" x14ac:dyDescent="0.3">
      <c r="DR126" s="21"/>
    </row>
    <row r="127" spans="122:122" x14ac:dyDescent="0.3">
      <c r="DR127" s="21"/>
    </row>
    <row r="128" spans="122:122" x14ac:dyDescent="0.3">
      <c r="DR128" s="21"/>
    </row>
    <row r="129" spans="122:122" x14ac:dyDescent="0.3">
      <c r="DR129" s="21"/>
    </row>
    <row r="130" spans="122:122" x14ac:dyDescent="0.3">
      <c r="DR130" s="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67"/>
  <sheetViews>
    <sheetView workbookViewId="0">
      <selection activeCell="A14" sqref="A14"/>
    </sheetView>
  </sheetViews>
  <sheetFormatPr defaultRowHeight="14.4" x14ac:dyDescent="0.3"/>
  <sheetData>
    <row r="1" spans="1:4" x14ac:dyDescent="0.3">
      <c r="A1" s="1" t="s">
        <v>243</v>
      </c>
      <c r="D1" t="str">
        <f ca="1">CONCATENATE("v.",RANDBETWEEN(1,3),".",RANDBETWEEN(1,8),".",RANDBETWEEN(4,15))</f>
        <v>v.2.1.14</v>
      </c>
    </row>
    <row r="2" spans="1:4" x14ac:dyDescent="0.3">
      <c r="A2" t="s">
        <v>244</v>
      </c>
    </row>
    <row r="3" spans="1:4" x14ac:dyDescent="0.3">
      <c r="A3" t="s">
        <v>245</v>
      </c>
    </row>
    <row r="5" spans="1:4" x14ac:dyDescent="0.3">
      <c r="A5" s="1" t="s">
        <v>250</v>
      </c>
    </row>
    <row r="6" spans="1:4" x14ac:dyDescent="0.3">
      <c r="A6" t="s">
        <v>251</v>
      </c>
    </row>
    <row r="11" spans="1:4" x14ac:dyDescent="0.3">
      <c r="A11" s="1" t="s">
        <v>162</v>
      </c>
    </row>
    <row r="12" spans="1:4" x14ac:dyDescent="0.3">
      <c r="A12" s="1"/>
    </row>
    <row r="13" spans="1:4" s="2" customFormat="1" x14ac:dyDescent="0.3">
      <c r="A13" s="2" t="s">
        <v>286</v>
      </c>
    </row>
    <row r="14" spans="1:4" s="2" customFormat="1" x14ac:dyDescent="0.3">
      <c r="A14" s="2" t="s">
        <v>285</v>
      </c>
    </row>
    <row r="15" spans="1:4" s="2" customFormat="1" x14ac:dyDescent="0.3">
      <c r="A15" s="2" t="s">
        <v>281</v>
      </c>
    </row>
    <row r="16" spans="1:4" s="2" customFormat="1" x14ac:dyDescent="0.3">
      <c r="A16" s="2" t="s">
        <v>279</v>
      </c>
    </row>
    <row r="17" spans="1:1" s="2" customFormat="1" x14ac:dyDescent="0.3">
      <c r="A17" s="2" t="s">
        <v>278</v>
      </c>
    </row>
    <row r="18" spans="1:1" s="2" customFormat="1" x14ac:dyDescent="0.3">
      <c r="A18" s="2" t="s">
        <v>277</v>
      </c>
    </row>
    <row r="19" spans="1:1" s="2" customFormat="1" x14ac:dyDescent="0.3">
      <c r="A19" s="2" t="s">
        <v>276</v>
      </c>
    </row>
    <row r="20" spans="1:1" s="2" customFormat="1" x14ac:dyDescent="0.3">
      <c r="A20" s="2" t="s">
        <v>274</v>
      </c>
    </row>
    <row r="21" spans="1:1" s="2" customFormat="1" x14ac:dyDescent="0.3">
      <c r="A21" s="2" t="s">
        <v>273</v>
      </c>
    </row>
    <row r="22" spans="1:1" s="2" customFormat="1" x14ac:dyDescent="0.3">
      <c r="A22" s="2" t="s">
        <v>271</v>
      </c>
    </row>
    <row r="23" spans="1:1" s="2" customFormat="1" x14ac:dyDescent="0.3">
      <c r="A23" s="2" t="s">
        <v>270</v>
      </c>
    </row>
    <row r="24" spans="1:1" s="2" customFormat="1" x14ac:dyDescent="0.3">
      <c r="A24" s="2" t="s">
        <v>266</v>
      </c>
    </row>
    <row r="25" spans="1:1" s="2" customFormat="1" x14ac:dyDescent="0.3">
      <c r="A25" s="2" t="s">
        <v>265</v>
      </c>
    </row>
    <row r="26" spans="1:1" s="2" customFormat="1" x14ac:dyDescent="0.3">
      <c r="A26" s="2" t="s">
        <v>264</v>
      </c>
    </row>
    <row r="27" spans="1:1" s="2" customFormat="1" x14ac:dyDescent="0.3">
      <c r="A27" s="2" t="s">
        <v>261</v>
      </c>
    </row>
    <row r="28" spans="1:1" s="2" customFormat="1" x14ac:dyDescent="0.3">
      <c r="A28" s="2" t="s">
        <v>259</v>
      </c>
    </row>
    <row r="29" spans="1:1" s="2" customFormat="1" x14ac:dyDescent="0.3">
      <c r="A29" s="2" t="s">
        <v>258</v>
      </c>
    </row>
    <row r="30" spans="1:1" s="2" customFormat="1" x14ac:dyDescent="0.3">
      <c r="A30" s="2" t="s">
        <v>257</v>
      </c>
    </row>
    <row r="31" spans="1:1" s="2" customFormat="1" x14ac:dyDescent="0.3">
      <c r="A31" s="2" t="s">
        <v>255</v>
      </c>
    </row>
    <row r="32" spans="1:1" s="2" customFormat="1" x14ac:dyDescent="0.3">
      <c r="A32" s="2" t="s">
        <v>247</v>
      </c>
    </row>
    <row r="33" spans="1:1" s="2" customFormat="1" x14ac:dyDescent="0.3">
      <c r="A33" s="2" t="s">
        <v>246</v>
      </c>
    </row>
    <row r="34" spans="1:1" s="2" customFormat="1" x14ac:dyDescent="0.3">
      <c r="A34" s="2" t="s">
        <v>242</v>
      </c>
    </row>
    <row r="35" spans="1:1" s="2" customFormat="1" x14ac:dyDescent="0.3">
      <c r="A35" s="2" t="s">
        <v>239</v>
      </c>
    </row>
    <row r="36" spans="1:1" s="2" customFormat="1" x14ac:dyDescent="0.3">
      <c r="A36" s="2" t="s">
        <v>238</v>
      </c>
    </row>
    <row r="37" spans="1:1" s="2" customFormat="1" x14ac:dyDescent="0.3">
      <c r="A37" s="2" t="s">
        <v>237</v>
      </c>
    </row>
    <row r="38" spans="1:1" s="2" customFormat="1" x14ac:dyDescent="0.3">
      <c r="A38" s="2" t="s">
        <v>234</v>
      </c>
    </row>
    <row r="39" spans="1:1" s="2" customFormat="1" x14ac:dyDescent="0.3">
      <c r="A39" s="2" t="s">
        <v>233</v>
      </c>
    </row>
    <row r="40" spans="1:1" s="2" customFormat="1" x14ac:dyDescent="0.3">
      <c r="A40" s="2" t="s">
        <v>232</v>
      </c>
    </row>
    <row r="41" spans="1:1" s="2" customFormat="1" x14ac:dyDescent="0.3">
      <c r="A41" s="2" t="s">
        <v>231</v>
      </c>
    </row>
    <row r="42" spans="1:1" s="2" customFormat="1" x14ac:dyDescent="0.3">
      <c r="A42" s="2" t="s">
        <v>224</v>
      </c>
    </row>
    <row r="43" spans="1:1" s="2" customFormat="1" x14ac:dyDescent="0.3">
      <c r="A43" s="2" t="s">
        <v>223</v>
      </c>
    </row>
    <row r="44" spans="1:1" s="2" customFormat="1" x14ac:dyDescent="0.3">
      <c r="A44" s="2" t="s">
        <v>222</v>
      </c>
    </row>
    <row r="45" spans="1:1" s="2" customFormat="1" x14ac:dyDescent="0.3">
      <c r="A45" s="2" t="s">
        <v>217</v>
      </c>
    </row>
    <row r="46" spans="1:1" s="2" customFormat="1" x14ac:dyDescent="0.3">
      <c r="A46" s="2" t="s">
        <v>216</v>
      </c>
    </row>
    <row r="47" spans="1:1" s="2" customFormat="1" x14ac:dyDescent="0.3">
      <c r="A47" s="2" t="s">
        <v>211</v>
      </c>
    </row>
    <row r="48" spans="1:1" s="2" customFormat="1" x14ac:dyDescent="0.3">
      <c r="A48" s="2" t="s">
        <v>209</v>
      </c>
    </row>
    <row r="49" spans="1:1" s="2" customFormat="1" x14ac:dyDescent="0.3">
      <c r="A49" s="2" t="s">
        <v>205</v>
      </c>
    </row>
    <row r="50" spans="1:1" s="2" customFormat="1" x14ac:dyDescent="0.3">
      <c r="A50" s="2" t="s">
        <v>204</v>
      </c>
    </row>
    <row r="51" spans="1:1" s="2" customFormat="1" x14ac:dyDescent="0.3">
      <c r="A51" s="2" t="s">
        <v>199</v>
      </c>
    </row>
    <row r="52" spans="1:1" s="2" customFormat="1" x14ac:dyDescent="0.3">
      <c r="A52" s="2" t="s">
        <v>198</v>
      </c>
    </row>
    <row r="53" spans="1:1" s="2" customFormat="1" x14ac:dyDescent="0.3">
      <c r="A53" s="2" t="s">
        <v>197</v>
      </c>
    </row>
    <row r="54" spans="1:1" s="2" customFormat="1" x14ac:dyDescent="0.3">
      <c r="A54" s="2" t="s">
        <v>195</v>
      </c>
    </row>
    <row r="55" spans="1:1" s="2" customFormat="1" x14ac:dyDescent="0.3">
      <c r="A55" s="2" t="s">
        <v>194</v>
      </c>
    </row>
    <row r="56" spans="1:1" s="2" customFormat="1" x14ac:dyDescent="0.3">
      <c r="A56" s="2" t="s">
        <v>186</v>
      </c>
    </row>
    <row r="57" spans="1:1" s="2" customFormat="1" x14ac:dyDescent="0.3">
      <c r="A57" s="2" t="s">
        <v>180</v>
      </c>
    </row>
    <row r="58" spans="1:1" s="2" customFormat="1" x14ac:dyDescent="0.3">
      <c r="A58" s="2" t="s">
        <v>177</v>
      </c>
    </row>
    <row r="59" spans="1:1" s="2" customFormat="1" x14ac:dyDescent="0.3">
      <c r="A59" s="2" t="s">
        <v>176</v>
      </c>
    </row>
    <row r="60" spans="1:1" s="2" customFormat="1" x14ac:dyDescent="0.3">
      <c r="A60" s="2" t="s">
        <v>170</v>
      </c>
    </row>
    <row r="61" spans="1:1" s="2" customFormat="1" x14ac:dyDescent="0.3">
      <c r="A61" s="2" t="s">
        <v>169</v>
      </c>
    </row>
    <row r="62" spans="1:1" s="2" customFormat="1" x14ac:dyDescent="0.3">
      <c r="A62" s="2" t="s">
        <v>168</v>
      </c>
    </row>
    <row r="63" spans="1:1" s="2" customFormat="1" x14ac:dyDescent="0.3">
      <c r="A63" s="2" t="s">
        <v>167</v>
      </c>
    </row>
    <row r="64" spans="1:1" x14ac:dyDescent="0.3">
      <c r="A64" t="s">
        <v>166</v>
      </c>
    </row>
    <row r="65" spans="1:1" x14ac:dyDescent="0.3">
      <c r="A65" t="s">
        <v>163</v>
      </c>
    </row>
    <row r="66" spans="1:1" x14ac:dyDescent="0.3">
      <c r="A66" t="s">
        <v>164</v>
      </c>
    </row>
    <row r="67" spans="1:1" x14ac:dyDescent="0.3">
      <c r="A67" t="s">
        <v>165</v>
      </c>
    </row>
  </sheetData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dChangelogLine">
                <anchor moveWithCells="1" sizeWithCells="1">
                  <from>
                    <xdr:col>11</xdr:col>
                    <xdr:colOff>114300</xdr:colOff>
                    <xdr:row>6</xdr:row>
                    <xdr:rowOff>152400</xdr:rowOff>
                  </from>
                  <to>
                    <xdr:col>14</xdr:col>
                    <xdr:colOff>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Front</vt:lpstr>
      <vt:lpstr>General stats</vt:lpstr>
      <vt:lpstr>Matchups</vt:lpstr>
      <vt:lpstr>Matchup Notes</vt:lpstr>
      <vt:lpstr>Changelog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2016-02-18T12:09:35Z</dcterms:modified>
  <cp:contentStatus/>
</cp:coreProperties>
</file>